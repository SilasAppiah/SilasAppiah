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comments6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WhatsApp links" sheetId="2" state="visible" r:id="rId4"/>
    <sheet name="UTM builder" sheetId="3" state="visible" r:id="rId5"/>
    <sheet name="Baseline DMs" sheetId="4" state="visible" r:id="rId6"/>
    <sheet name="Weekly log" sheetId="5" state="visible" r:id="rId7"/>
    <sheet name="Dashboard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6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5" authorId="0">
      <text>
        <r>
          <rPr>
            <sz val="10"/>
            <rFont val="Arial"/>
            <family val="2"/>
          </rPr>
          <t xml:space="preserve">Re-sample 20 DMs in December and type the average here</t>
        </r>
      </text>
    </comment>
    <comment ref="C6" authorId="0">
      <text>
        <r>
          <rPr>
            <sz val="10"/>
            <rFont val="Arial"/>
            <family val="2"/>
          </rPr>
          <t xml:space="preserve">Re-sample in December and type the share here</t>
        </r>
      </text>
    </comment>
  </commentList>
</comments>
</file>

<file path=xl/sharedStrings.xml><?xml version="1.0" encoding="utf-8"?>
<sst xmlns="http://schemas.openxmlformats.org/spreadsheetml/2006/main" count="214" uniqueCount="156">
  <si>
    <t xml:space="preserve">Social Enquiry Routing: tracker</t>
  </si>
  <si>
    <t xml:space="preserve">Innovation 2, Q4 2026. Owner: Silas Atuahene Appiah, Digital Marketing Officer</t>
  </si>
  <si>
    <t xml:space="preserve">Sheet</t>
  </si>
  <si>
    <t xml:space="preserve">What it's for</t>
  </si>
  <si>
    <t xml:space="preserve">When</t>
  </si>
  <si>
    <t xml:space="preserve">WhatsApp links</t>
  </si>
  <si>
    <t xml:space="preserve">All 15 tagged links to Sales (0244 122 855). Copy into saved replies, automations, bios and posts.</t>
  </si>
  <si>
    <t xml:space="preserve">Set up once</t>
  </si>
  <si>
    <t xml:space="preserve">UTM builder</t>
  </si>
  <si>
    <t xml:space="preserve">Builds tracked links to the website or portal so Google Analytics shows the source.</t>
  </si>
  <si>
    <t xml:space="preserve">Every time you post a website link</t>
  </si>
  <si>
    <t xml:space="preserve">Baseline DMs</t>
  </si>
  <si>
    <t xml:space="preserve">Reply times for 20 recent DMs, taken before the automations go live.</t>
  </si>
  <si>
    <t xml:space="preserve">Week of 5 October, again in December</t>
  </si>
  <si>
    <t xml:space="preserve">Weekly log</t>
  </si>
  <si>
    <t xml:space="preserve">Enquiries, automation, tagged handovers and enrolments, one row per week.</t>
  </si>
  <si>
    <t xml:space="preserve">Every Friday, 10 minutes</t>
  </si>
  <si>
    <t xml:space="preserve">Dashboard</t>
  </si>
  <si>
    <t xml:space="preserve">Q4 results against targets. Updates itself from the other sheets.</t>
  </si>
  <si>
    <t xml:space="preserve">Monthly report</t>
  </si>
  <si>
    <t xml:space="preserve">Legend</t>
  </si>
  <si>
    <t xml:space="preserve">Yellow cell, blue text</t>
  </si>
  <si>
    <t xml:space="preserve">You fill this in</t>
  </si>
  <si>
    <t xml:space="preserve">White cell, black text</t>
  </si>
  <si>
    <t xml:space="preserve">Formula, leave it alone</t>
  </si>
  <si>
    <t xml:space="preserve">Grey italic row</t>
  </si>
  <si>
    <t xml:space="preserve">Example showing the format. Not counted.</t>
  </si>
  <si>
    <t xml:space="preserve">Ref code key</t>
  </si>
  <si>
    <t xml:space="preserve">FB / IG / LI</t>
  </si>
  <si>
    <t xml:space="preserve">Facebook / Instagram / LinkedIn</t>
  </si>
  <si>
    <t xml:space="preserve">APHRI / PHRI / SPHRI</t>
  </si>
  <si>
    <t xml:space="preserve">Programme the person asked about</t>
  </si>
  <si>
    <t xml:space="preserve">CONSULT / GEN</t>
  </si>
  <si>
    <t xml:space="preserve">HRCC Consulting / general enquiry</t>
  </si>
  <si>
    <t xml:space="preserve">Tagged WhatsApp links to Sales</t>
  </si>
  <si>
    <t xml:space="preserve">Number: 0244 122 855. Each link opens WhatsApp with the message and ref code already typed. Test every link once before use.</t>
  </si>
  <si>
    <t xml:space="preserve">Platform</t>
  </si>
  <si>
    <t xml:space="preserve">Programme</t>
  </si>
  <si>
    <t xml:space="preserve">Ref code</t>
  </si>
  <si>
    <t xml:space="preserve">Message the person sends</t>
  </si>
  <si>
    <t xml:space="preserve">Link</t>
  </si>
  <si>
    <t xml:space="preserve">Facebook</t>
  </si>
  <si>
    <t xml:space="preserve">aPHRi</t>
  </si>
  <si>
    <t xml:space="preserve">FB-APHRI</t>
  </si>
  <si>
    <t xml:space="preserve">Hi HRCC, I'm interested in aPHRi for Cohort 49. (ref: FB-APHRI)</t>
  </si>
  <si>
    <t xml:space="preserve">https://wa.me/233244122855?text=Hi%20HRCC%2C%20I%27m%20interested%20in%20aPHRi%20for%20Cohort%2049.%20%28ref%3A%20FB-APHRI%29</t>
  </si>
  <si>
    <t xml:space="preserve">PHRi</t>
  </si>
  <si>
    <t xml:space="preserve">FB-PHRI</t>
  </si>
  <si>
    <t xml:space="preserve">Hi HRCC, I'm interested in PHRi for Cohort 49. (ref: FB-PHRI)</t>
  </si>
  <si>
    <t xml:space="preserve">https://wa.me/233244122855?text=Hi%20HRCC%2C%20I%27m%20interested%20in%20PHRi%20for%20Cohort%2049.%20%28ref%3A%20FB-PHRI%29</t>
  </si>
  <si>
    <t xml:space="preserve">SPHRi</t>
  </si>
  <si>
    <t xml:space="preserve">FB-SPHRI</t>
  </si>
  <si>
    <t xml:space="preserve">Hi HRCC, I'm interested in SPHRi for Cohort 49. (ref: FB-SPHRI)</t>
  </si>
  <si>
    <t xml:space="preserve">https://wa.me/233244122855?text=Hi%20HRCC%2C%20I%27m%20interested%20in%20SPHRi%20for%20Cohort%2049.%20%28ref%3A%20FB-SPHRI%29</t>
  </si>
  <si>
    <t xml:space="preserve">HRCC Consulting</t>
  </si>
  <si>
    <t xml:space="preserve">FB-CONSULT</t>
  </si>
  <si>
    <t xml:space="preserve">Hi HRCC, I'd like to know more about HRCC Consulting. (ref: FB-CONSULT)</t>
  </si>
  <si>
    <t xml:space="preserve">https://wa.me/233244122855?text=Hi%20HRCC%2C%20I%27d%20like%20to%20know%20more%20about%20HRCC%20Consulting.%20%28ref%3A%20FB-CONSULT%29</t>
  </si>
  <si>
    <t xml:space="preserve">General enquiry</t>
  </si>
  <si>
    <t xml:space="preserve">FB-GEN</t>
  </si>
  <si>
    <t xml:space="preserve">Hi HRCC, I'd like to know more about your HR certifications. (ref: FB-GEN)</t>
  </si>
  <si>
    <t xml:space="preserve">https://wa.me/233244122855?text=Hi%20HRCC%2C%20I%27d%20like%20to%20know%20more%20about%20your%20HR%20certifications.%20%28ref%3A%20FB-GEN%29</t>
  </si>
  <si>
    <t xml:space="preserve">Instagram</t>
  </si>
  <si>
    <t xml:space="preserve">IG-APHRI</t>
  </si>
  <si>
    <t xml:space="preserve">Hi HRCC, I'm interested in aPHRi for Cohort 49. (ref: IG-APHRI)</t>
  </si>
  <si>
    <t xml:space="preserve">https://wa.me/233244122855?text=Hi%20HRCC%2C%20I%27m%20interested%20in%20aPHRi%20for%20Cohort%2049.%20%28ref%3A%20IG-APHRI%29</t>
  </si>
  <si>
    <t xml:space="preserve">IG-PHRI</t>
  </si>
  <si>
    <t xml:space="preserve">Hi HRCC, I'm interested in PHRi for Cohort 49. (ref: IG-PHRI)</t>
  </si>
  <si>
    <t xml:space="preserve">https://wa.me/233244122855?text=Hi%20HRCC%2C%20I%27m%20interested%20in%20PHRi%20for%20Cohort%2049.%20%28ref%3A%20IG-PHRI%29</t>
  </si>
  <si>
    <t xml:space="preserve">IG-SPHRI</t>
  </si>
  <si>
    <t xml:space="preserve">Hi HRCC, I'm interested in SPHRi for Cohort 49. (ref: IG-SPHRI)</t>
  </si>
  <si>
    <t xml:space="preserve">https://wa.me/233244122855?text=Hi%20HRCC%2C%20I%27m%20interested%20in%20SPHRi%20for%20Cohort%2049.%20%28ref%3A%20IG-SPHRI%29</t>
  </si>
  <si>
    <t xml:space="preserve">IG-CONSULT</t>
  </si>
  <si>
    <t xml:space="preserve">Hi HRCC, I'd like to know more about HRCC Consulting. (ref: IG-CONSULT)</t>
  </si>
  <si>
    <t xml:space="preserve">https://wa.me/233244122855?text=Hi%20HRCC%2C%20I%27d%20like%20to%20know%20more%20about%20HRCC%20Consulting.%20%28ref%3A%20IG-CONSULT%29</t>
  </si>
  <si>
    <t xml:space="preserve">IG-GEN</t>
  </si>
  <si>
    <t xml:space="preserve">Hi HRCC, I'd like to know more about your HR certifications. (ref: IG-GEN)</t>
  </si>
  <si>
    <t xml:space="preserve">https://wa.me/233244122855?text=Hi%20HRCC%2C%20I%27d%20like%20to%20know%20more%20about%20your%20HR%20certifications.%20%28ref%3A%20IG-GEN%29</t>
  </si>
  <si>
    <t xml:space="preserve">LinkedIn</t>
  </si>
  <si>
    <t xml:space="preserve">LI-APHRI</t>
  </si>
  <si>
    <t xml:space="preserve">Hi HRCC, I'm interested in aPHRi for Cohort 49. (ref: LI-APHRI)</t>
  </si>
  <si>
    <t xml:space="preserve">https://wa.me/233244122855?text=Hi%20HRCC%2C%20I%27m%20interested%20in%20aPHRi%20for%20Cohort%2049.%20%28ref%3A%20LI-APHRI%29</t>
  </si>
  <si>
    <t xml:space="preserve">LI-PHRI</t>
  </si>
  <si>
    <t xml:space="preserve">Hi HRCC, I'm interested in PHRi for Cohort 49. (ref: LI-PHRI)</t>
  </si>
  <si>
    <t xml:space="preserve">https://wa.me/233244122855?text=Hi%20HRCC%2C%20I%27m%20interested%20in%20PHRi%20for%20Cohort%2049.%20%28ref%3A%20LI-PHRI%29</t>
  </si>
  <si>
    <t xml:space="preserve">LI-SPHRI</t>
  </si>
  <si>
    <t xml:space="preserve">Hi HRCC, I'm interested in SPHRi for Cohort 49. (ref: LI-SPHRI)</t>
  </si>
  <si>
    <t xml:space="preserve">https://wa.me/233244122855?text=Hi%20HRCC%2C%20I%27m%20interested%20in%20SPHRi%20for%20Cohort%2049.%20%28ref%3A%20LI-SPHRI%29</t>
  </si>
  <si>
    <t xml:space="preserve">LI-CONSULT</t>
  </si>
  <si>
    <t xml:space="preserve">Hi HRCC, I'd like to know more about HRCC Consulting. (ref: LI-CONSULT)</t>
  </si>
  <si>
    <t xml:space="preserve">https://wa.me/233244122855?text=Hi%20HRCC%2C%20I%27d%20like%20to%20know%20more%20about%20HRCC%20Consulting.%20%28ref%3A%20LI-CONSULT%29</t>
  </si>
  <si>
    <t xml:space="preserve">LI-GEN</t>
  </si>
  <si>
    <t xml:space="preserve">Hi HRCC, I'd like to know more about your HR certifications. (ref: LI-GEN)</t>
  </si>
  <si>
    <t xml:space="preserve">https://wa.me/233244122855?text=Hi%20HRCC%2C%20I%27d%20like%20to%20know%20more%20about%20your%20HR%20certifications.%20%28ref%3A%20LI-GEN%29</t>
  </si>
  <si>
    <t xml:space="preserve">UTM link builder</t>
  </si>
  <si>
    <t xml:space="preserve">Fill the yellow cells. Column F builds the link. Keep everything lower case so Google Analytics groups it correctly.</t>
  </si>
  <si>
    <t xml:space="preserve">Base URL (page on the website or portal)</t>
  </si>
  <si>
    <t xml:space="preserve">Source</t>
  </si>
  <si>
    <t xml:space="preserve">Medium</t>
  </si>
  <si>
    <t xml:space="preserve">Campaign</t>
  </si>
  <si>
    <t xml:space="preserve">Content (programme_posttype)</t>
  </si>
  <si>
    <t xml:space="preserve">Tracked link (copy this)</t>
  </si>
  <si>
    <t xml:space="preserve">https://www.phrglobal.com/</t>
  </si>
  <si>
    <t xml:space="preserve">instagram</t>
  </si>
  <si>
    <t xml:space="preserve">social</t>
  </si>
  <si>
    <t xml:space="preserve">cohort49</t>
  </si>
  <si>
    <t xml:space="preserve">phri_classroom</t>
  </si>
  <si>
    <t xml:space="preserve">Example row</t>
  </si>
  <si>
    <t xml:space="preserve">Baseline: reply time for 20 recent DMs</t>
  </si>
  <si>
    <t xml:space="preserve">Take the last 20 DMs that asked about a programme. Enter when each arrived and when someone first replied personally (not an automated reply).</t>
  </si>
  <si>
    <t xml:space="preserve">#</t>
  </si>
  <si>
    <t xml:space="preserve">Received (date and time)</t>
  </si>
  <si>
    <t xml:space="preserve">First personal reply (date and time)</t>
  </si>
  <si>
    <t xml:space="preserve">Minutes to reply</t>
  </si>
  <si>
    <t xml:space="preserve">Within 15 minutes?</t>
  </si>
  <si>
    <t xml:space="preserve">Question asked</t>
  </si>
  <si>
    <t xml:space="preserve">Ex.</t>
  </si>
  <si>
    <t xml:space="preserve">PHRi fees</t>
  </si>
  <si>
    <t xml:space="preserve">DMs entered</t>
  </si>
  <si>
    <t xml:space="preserve">Average minutes to reply</t>
  </si>
  <si>
    <t xml:space="preserve">Median minutes to reply</t>
  </si>
  <si>
    <t xml:space="preserve">Share replied within 15 minutes</t>
  </si>
  <si>
    <t xml:space="preserve">Note: minutes are clock time, so a DM sent at night counts the hours until morning. That is fine for a baseline, as long as the December re-check is measured the same way.</t>
  </si>
  <si>
    <t xml:space="preserve">Fill one row every Friday. Tagged chat and enrolment numbers come from Sales; enquiries and automation counts from Meta Business Suite.</t>
  </si>
  <si>
    <t xml:space="preserve">Week starting (Monday)</t>
  </si>
  <si>
    <t xml:space="preserve">Enquiries (DMs + comments)</t>
  </si>
  <si>
    <t xml:space="preserve">Fully answered by automation</t>
  </si>
  <si>
    <t xml:space="preserve">Share automated</t>
  </si>
  <si>
    <t xml:space="preserve">Tagged chats: FB</t>
  </si>
  <si>
    <t xml:space="preserve">Tagged chats: IG</t>
  </si>
  <si>
    <t xml:space="preserve">Tagged chats: LI</t>
  </si>
  <si>
    <t xml:space="preserve">Tagged chats: total</t>
  </si>
  <si>
    <t xml:space="preserve">Social leads enrolled</t>
  </si>
  <si>
    <t xml:space="preserve">Keyword-triggered DMs</t>
  </si>
  <si>
    <t xml:space="preserve">Hours on repeat replies</t>
  </si>
  <si>
    <t xml:space="preserve">Notes</t>
  </si>
  <si>
    <t xml:space="preserve">Q4 total</t>
  </si>
  <si>
    <t xml:space="preserve">(weekly average)</t>
  </si>
  <si>
    <t xml:space="preserve">Q4 dashboard: Social Enquiry Routing</t>
  </si>
  <si>
    <t xml:space="preserve">Updates from the other sheets. Only the yellow December cells need typing.</t>
  </si>
  <si>
    <t xml:space="preserve">Measure</t>
  </si>
  <si>
    <t xml:space="preserve">Baseline</t>
  </si>
  <si>
    <t xml:space="preserve">Q4 so far</t>
  </si>
  <si>
    <t xml:space="preserve">Q4 target</t>
  </si>
  <si>
    <t xml:space="preserve">On target?</t>
  </si>
  <si>
    <t xml:space="preserve">Average minutes to a personal reply</t>
  </si>
  <si>
    <t xml:space="preserve">Share of DMs replied within 15 minutes</t>
  </si>
  <si>
    <t xml:space="preserve">Share of enquiries answered by automation</t>
  </si>
  <si>
    <t xml:space="preserve">Tagged handovers to Sales</t>
  </si>
  <si>
    <t xml:space="preserve">Track</t>
  </si>
  <si>
    <t xml:space="preserve">Handover to enrolment rate</t>
  </si>
  <si>
    <t xml:space="preserve">Hours a week on repeat replies</t>
  </si>
  <si>
    <t xml:space="preserve">Tagged handovers by platform</t>
  </si>
  <si>
    <t xml:space="preserve">Chats</t>
  </si>
  <si>
    <t xml:space="preserve">Share</t>
  </si>
  <si>
    <t xml:space="preserve">Targets come from the Q4 innovation brief. The 80% within-15-minutes target is a working figure; adjust once the baseline is in.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</si>
</sst>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dd\ mmm\ yyyy\ hh:mm"/>
    <numFmt numFmtId="166" formatCode="0"/>
    <numFmt numFmtId="167" formatCode="0%"/>
    <numFmt numFmtId="168" formatCode="dd\ mmm\ yyyy"/>
    <numFmt numFmtId="169" formatCode="0.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71365"/>
      <name val="Arial"/>
      <family val="0"/>
      <charset val="1"/>
    </font>
    <font>
      <i val="true"/>
      <sz val="10"/>
      <color rgb="FF5B618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171365"/>
      <name val="Arial"/>
      <family val="0"/>
      <charset val="1"/>
    </font>
    <font>
      <sz val="10"/>
      <color rgb="FF0000FF"/>
      <name val="Arial"/>
      <family val="0"/>
      <charset val="1"/>
    </font>
    <font>
      <sz val="10"/>
      <name val="Arial"/>
      <family val="0"/>
      <charset val="1"/>
    </font>
    <font>
      <u val="single"/>
      <sz val="10"/>
      <color rgb="FF0563C1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i val="true"/>
      <sz val="9"/>
      <color rgb="FF5B6180"/>
      <name val="Arial"/>
      <family val="0"/>
      <charset val="1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71365"/>
        <bgColor rgb="FF000080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6E0F2"/>
      </left>
      <right style="thin">
        <color rgb="FFD6E0F2"/>
      </right>
      <top style="thin">
        <color rgb="FFD6E0F2"/>
      </top>
      <bottom style="thin">
        <color rgb="FFD6E0F2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171365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563C1"/>
      <rgbColor rgb="FFD6E0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B6180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wa.me/233244122855?text=Hi%20HRCC%2C%20I%27m%20interested%20in%20aPHRi%20for%20Cohort%2049.%20%28ref%3A%20FB-APHRI%29" TargetMode="External"/><Relationship Id="rId2" Type="http://schemas.openxmlformats.org/officeDocument/2006/relationships/hyperlink" Target="https://wa.me/233244122855?text=Hi%20HRCC%2C%20I%27m%20interested%20in%20PHRi%20for%20Cohort%2049.%20%28ref%3A%20FB-PHRI%29" TargetMode="External"/><Relationship Id="rId3" Type="http://schemas.openxmlformats.org/officeDocument/2006/relationships/hyperlink" Target="https://wa.me/233244122855?text=Hi%20HRCC%2C%20I%27m%20interested%20in%20SPHRi%20for%20Cohort%2049.%20%28ref%3A%20FB-SPHRI%29" TargetMode="External"/><Relationship Id="rId4" Type="http://schemas.openxmlformats.org/officeDocument/2006/relationships/hyperlink" Target="https://wa.me/233244122855?text=Hi%20HRCC%2C%20I%27d%20like%20to%20know%20more%20about%20HRCC%20Consulting.%20%28ref%3A%20FB-CONSULT%29" TargetMode="External"/><Relationship Id="rId5" Type="http://schemas.openxmlformats.org/officeDocument/2006/relationships/hyperlink" Target="https://wa.me/233244122855?text=Hi%20HRCC%2C%20I%27d%20like%20to%20know%20more%20about%20your%20HR%20certifications.%20%28ref%3A%20FB-GEN%29" TargetMode="External"/><Relationship Id="rId6" Type="http://schemas.openxmlformats.org/officeDocument/2006/relationships/hyperlink" Target="https://wa.me/233244122855?text=Hi%20HRCC%2C%20I%27m%20interested%20in%20aPHRi%20for%20Cohort%2049.%20%28ref%3A%20IG-APHRI%29" TargetMode="External"/><Relationship Id="rId7" Type="http://schemas.openxmlformats.org/officeDocument/2006/relationships/hyperlink" Target="https://wa.me/233244122855?text=Hi%20HRCC%2C%20I%27m%20interested%20in%20PHRi%20for%20Cohort%2049.%20%28ref%3A%20IG-PHRI%29" TargetMode="External"/><Relationship Id="rId8" Type="http://schemas.openxmlformats.org/officeDocument/2006/relationships/hyperlink" Target="https://wa.me/233244122855?text=Hi%20HRCC%2C%20I%27m%20interested%20in%20SPHRi%20for%20Cohort%2049.%20%28ref%3A%20IG-SPHRI%29" TargetMode="External"/><Relationship Id="rId9" Type="http://schemas.openxmlformats.org/officeDocument/2006/relationships/hyperlink" Target="https://wa.me/233244122855?text=Hi%20HRCC%2C%20I%27d%20like%20to%20know%20more%20about%20HRCC%20Consulting.%20%28ref%3A%20IG-CONSULT%29" TargetMode="External"/><Relationship Id="rId10" Type="http://schemas.openxmlformats.org/officeDocument/2006/relationships/hyperlink" Target="https://wa.me/233244122855?text=Hi%20HRCC%2C%20I%27d%20like%20to%20know%20more%20about%20your%20HR%20certifications.%20%28ref%3A%20IG-GEN%29" TargetMode="External"/><Relationship Id="rId11" Type="http://schemas.openxmlformats.org/officeDocument/2006/relationships/hyperlink" Target="https://wa.me/233244122855?text=Hi%20HRCC%2C%20I%27m%20interested%20in%20aPHRi%20for%20Cohort%2049.%20%28ref%3A%20LI-APHRI%29" TargetMode="External"/><Relationship Id="rId12" Type="http://schemas.openxmlformats.org/officeDocument/2006/relationships/hyperlink" Target="https://wa.me/233244122855?text=Hi%20HRCC%2C%20I%27m%20interested%20in%20PHRi%20for%20Cohort%2049.%20%28ref%3A%20LI-PHRI%29" TargetMode="External"/><Relationship Id="rId13" Type="http://schemas.openxmlformats.org/officeDocument/2006/relationships/hyperlink" Target="https://wa.me/233244122855?text=Hi%20HRCC%2C%20I%27m%20interested%20in%20SPHRi%20for%20Cohort%2049.%20%28ref%3A%20LI-SPHRI%29" TargetMode="External"/><Relationship Id="rId14" Type="http://schemas.openxmlformats.org/officeDocument/2006/relationships/hyperlink" Target="https://wa.me/233244122855?text=Hi%20HRCC%2C%20I%27d%20like%20to%20know%20more%20about%20HRCC%20Consulting.%20%28ref%3A%20LI-CONSULT%29" TargetMode="External"/><Relationship Id="rId15" Type="http://schemas.openxmlformats.org/officeDocument/2006/relationships/hyperlink" Target="https://wa.me/233244122855?text=Hi%20HRCC%2C%20I%27d%20like%20to%20know%20more%20about%20your%20HR%20certifications.%20%28ref%3A%20LI-GEN%29" TargetMode="Externa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70"/>
    <col collapsed="false" customWidth="true" hidden="false" outlineLevel="0" max="3" min="3" style="0" width="3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</row>
    <row r="5" customFormat="false" ht="15" hidden="false" customHeight="false" outlineLevel="0" collapsed="false">
      <c r="A5" s="4" t="s">
        <v>5</v>
      </c>
      <c r="B5" s="4" t="s">
        <v>6</v>
      </c>
      <c r="C5" s="4" t="s">
        <v>7</v>
      </c>
    </row>
    <row r="6" customFormat="false" ht="15" hidden="false" customHeight="false" outlineLevel="0" collapsed="false">
      <c r="A6" s="4" t="s">
        <v>8</v>
      </c>
      <c r="B6" s="4" t="s">
        <v>9</v>
      </c>
      <c r="C6" s="4" t="s">
        <v>10</v>
      </c>
    </row>
    <row r="7" customFormat="false" ht="15" hidden="false" customHeight="false" outlineLevel="0" collapsed="false">
      <c r="A7" s="4" t="s">
        <v>11</v>
      </c>
      <c r="B7" s="4" t="s">
        <v>12</v>
      </c>
      <c r="C7" s="4" t="s">
        <v>13</v>
      </c>
    </row>
    <row r="8" customFormat="false" ht="15" hidden="false" customHeight="false" outlineLevel="0" collapsed="false">
      <c r="A8" s="4" t="s">
        <v>14</v>
      </c>
      <c r="B8" s="4" t="s">
        <v>15</v>
      </c>
      <c r="C8" s="4" t="s">
        <v>16</v>
      </c>
    </row>
    <row r="9" customFormat="false" ht="15" hidden="false" customHeight="false" outlineLevel="0" collapsed="false">
      <c r="A9" s="4" t="s">
        <v>17</v>
      </c>
      <c r="B9" s="4" t="s">
        <v>18</v>
      </c>
      <c r="C9" s="4" t="s">
        <v>19</v>
      </c>
    </row>
    <row r="12" customFormat="false" ht="15" hidden="false" customHeight="false" outlineLevel="0" collapsed="false">
      <c r="A12" s="5" t="s">
        <v>20</v>
      </c>
    </row>
    <row r="13" customFormat="false" ht="15" hidden="false" customHeight="false" outlineLevel="0" collapsed="false">
      <c r="A13" s="6" t="s">
        <v>21</v>
      </c>
      <c r="B13" s="7" t="s">
        <v>22</v>
      </c>
    </row>
    <row r="14" customFormat="false" ht="15" hidden="false" customHeight="false" outlineLevel="0" collapsed="false">
      <c r="A14" s="7" t="s">
        <v>23</v>
      </c>
      <c r="B14" s="7" t="s">
        <v>24</v>
      </c>
    </row>
    <row r="15" customFormat="false" ht="15" hidden="false" customHeight="false" outlineLevel="0" collapsed="false">
      <c r="A15" s="2" t="s">
        <v>25</v>
      </c>
      <c r="B15" s="7" t="s">
        <v>26</v>
      </c>
    </row>
    <row r="17" customFormat="false" ht="15" hidden="false" customHeight="false" outlineLevel="0" collapsed="false">
      <c r="A17" s="5" t="s">
        <v>27</v>
      </c>
    </row>
    <row r="18" customFormat="false" ht="15" hidden="false" customHeight="false" outlineLevel="0" collapsed="false">
      <c r="A18" s="7" t="s">
        <v>28</v>
      </c>
      <c r="B18" s="7" t="s">
        <v>29</v>
      </c>
    </row>
    <row r="19" customFormat="false" ht="15" hidden="false" customHeight="false" outlineLevel="0" collapsed="false">
      <c r="A19" s="7" t="s">
        <v>30</v>
      </c>
      <c r="B19" s="7" t="s">
        <v>31</v>
      </c>
    </row>
    <row r="20" customFormat="false" ht="15" hidden="false" customHeight="false" outlineLevel="0" collapsed="false">
      <c r="A20" s="7" t="s">
        <v>32</v>
      </c>
      <c r="B20" s="7" t="s">
        <v>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7"/>
    <col collapsed="false" customWidth="true" hidden="false" outlineLevel="0" max="3" min="3" style="0" width="13"/>
    <col collapsed="false" customWidth="true" hidden="false" outlineLevel="0" max="4" min="4" style="0" width="52"/>
    <col collapsed="false" customWidth="true" hidden="false" outlineLevel="0" max="5" min="5" style="0" width="60"/>
  </cols>
  <sheetData>
    <row r="1" customFormat="false" ht="17.35" hidden="false" customHeight="false" outlineLevel="0" collapsed="false">
      <c r="A1" s="1" t="s">
        <v>34</v>
      </c>
    </row>
    <row r="2" customFormat="false" ht="15" hidden="false" customHeight="false" outlineLevel="0" collapsed="false">
      <c r="A2" s="2" t="s">
        <v>35</v>
      </c>
    </row>
    <row r="4" customFormat="false" ht="15" hidden="false" customHeight="false" outlineLevel="0" collapsed="false">
      <c r="A4" s="8" t="s">
        <v>36</v>
      </c>
      <c r="B4" s="8" t="s">
        <v>37</v>
      </c>
      <c r="C4" s="8" t="s">
        <v>38</v>
      </c>
      <c r="D4" s="8" t="s">
        <v>39</v>
      </c>
      <c r="E4" s="8" t="s">
        <v>40</v>
      </c>
    </row>
    <row r="5" customFormat="false" ht="15" hidden="false" customHeight="false" outlineLevel="0" collapsed="false">
      <c r="A5" s="9" t="s">
        <v>41</v>
      </c>
      <c r="B5" s="9" t="s">
        <v>42</v>
      </c>
      <c r="C5" s="9" t="s">
        <v>43</v>
      </c>
      <c r="D5" s="4" t="s">
        <v>44</v>
      </c>
      <c r="E5" s="10" t="s">
        <v>45</v>
      </c>
    </row>
    <row r="6" customFormat="false" ht="15" hidden="false" customHeight="false" outlineLevel="0" collapsed="false">
      <c r="A6" s="9" t="s">
        <v>41</v>
      </c>
      <c r="B6" s="9" t="s">
        <v>46</v>
      </c>
      <c r="C6" s="9" t="s">
        <v>47</v>
      </c>
      <c r="D6" s="4" t="s">
        <v>48</v>
      </c>
      <c r="E6" s="10" t="s">
        <v>49</v>
      </c>
    </row>
    <row r="7" customFormat="false" ht="15" hidden="false" customHeight="false" outlineLevel="0" collapsed="false">
      <c r="A7" s="9" t="s">
        <v>41</v>
      </c>
      <c r="B7" s="9" t="s">
        <v>50</v>
      </c>
      <c r="C7" s="9" t="s">
        <v>51</v>
      </c>
      <c r="D7" s="4" t="s">
        <v>52</v>
      </c>
      <c r="E7" s="10" t="s">
        <v>53</v>
      </c>
    </row>
    <row r="8" customFormat="false" ht="15" hidden="false" customHeight="false" outlineLevel="0" collapsed="false">
      <c r="A8" s="9" t="s">
        <v>41</v>
      </c>
      <c r="B8" s="9" t="s">
        <v>54</v>
      </c>
      <c r="C8" s="9" t="s">
        <v>55</v>
      </c>
      <c r="D8" s="4" t="s">
        <v>56</v>
      </c>
      <c r="E8" s="10" t="s">
        <v>57</v>
      </c>
    </row>
    <row r="9" customFormat="false" ht="15" hidden="false" customHeight="false" outlineLevel="0" collapsed="false">
      <c r="A9" s="9" t="s">
        <v>41</v>
      </c>
      <c r="B9" s="9" t="s">
        <v>58</v>
      </c>
      <c r="C9" s="9" t="s">
        <v>59</v>
      </c>
      <c r="D9" s="4" t="s">
        <v>60</v>
      </c>
      <c r="E9" s="10" t="s">
        <v>61</v>
      </c>
    </row>
    <row r="10" customFormat="false" ht="15" hidden="false" customHeight="false" outlineLevel="0" collapsed="false">
      <c r="A10" s="9" t="s">
        <v>62</v>
      </c>
      <c r="B10" s="9" t="s">
        <v>42</v>
      </c>
      <c r="C10" s="9" t="s">
        <v>63</v>
      </c>
      <c r="D10" s="4" t="s">
        <v>64</v>
      </c>
      <c r="E10" s="10" t="s">
        <v>65</v>
      </c>
    </row>
    <row r="11" customFormat="false" ht="15" hidden="false" customHeight="false" outlineLevel="0" collapsed="false">
      <c r="A11" s="9" t="s">
        <v>62</v>
      </c>
      <c r="B11" s="9" t="s">
        <v>46</v>
      </c>
      <c r="C11" s="9" t="s">
        <v>66</v>
      </c>
      <c r="D11" s="4" t="s">
        <v>67</v>
      </c>
      <c r="E11" s="10" t="s">
        <v>68</v>
      </c>
    </row>
    <row r="12" customFormat="false" ht="15" hidden="false" customHeight="false" outlineLevel="0" collapsed="false">
      <c r="A12" s="9" t="s">
        <v>62</v>
      </c>
      <c r="B12" s="9" t="s">
        <v>50</v>
      </c>
      <c r="C12" s="9" t="s">
        <v>69</v>
      </c>
      <c r="D12" s="4" t="s">
        <v>70</v>
      </c>
      <c r="E12" s="10" t="s">
        <v>71</v>
      </c>
    </row>
    <row r="13" customFormat="false" ht="15" hidden="false" customHeight="false" outlineLevel="0" collapsed="false">
      <c r="A13" s="9" t="s">
        <v>62</v>
      </c>
      <c r="B13" s="9" t="s">
        <v>54</v>
      </c>
      <c r="C13" s="9" t="s">
        <v>72</v>
      </c>
      <c r="D13" s="4" t="s">
        <v>73</v>
      </c>
      <c r="E13" s="10" t="s">
        <v>74</v>
      </c>
    </row>
    <row r="14" customFormat="false" ht="15" hidden="false" customHeight="false" outlineLevel="0" collapsed="false">
      <c r="A14" s="9" t="s">
        <v>62</v>
      </c>
      <c r="B14" s="9" t="s">
        <v>58</v>
      </c>
      <c r="C14" s="9" t="s">
        <v>75</v>
      </c>
      <c r="D14" s="4" t="s">
        <v>76</v>
      </c>
      <c r="E14" s="10" t="s">
        <v>77</v>
      </c>
    </row>
    <row r="15" customFormat="false" ht="15" hidden="false" customHeight="false" outlineLevel="0" collapsed="false">
      <c r="A15" s="9" t="s">
        <v>78</v>
      </c>
      <c r="B15" s="9" t="s">
        <v>42</v>
      </c>
      <c r="C15" s="9" t="s">
        <v>79</v>
      </c>
      <c r="D15" s="4" t="s">
        <v>80</v>
      </c>
      <c r="E15" s="10" t="s">
        <v>81</v>
      </c>
    </row>
    <row r="16" customFormat="false" ht="15" hidden="false" customHeight="false" outlineLevel="0" collapsed="false">
      <c r="A16" s="9" t="s">
        <v>78</v>
      </c>
      <c r="B16" s="9" t="s">
        <v>46</v>
      </c>
      <c r="C16" s="9" t="s">
        <v>82</v>
      </c>
      <c r="D16" s="4" t="s">
        <v>83</v>
      </c>
      <c r="E16" s="10" t="s">
        <v>84</v>
      </c>
    </row>
    <row r="17" customFormat="false" ht="15" hidden="false" customHeight="false" outlineLevel="0" collapsed="false">
      <c r="A17" s="9" t="s">
        <v>78</v>
      </c>
      <c r="B17" s="9" t="s">
        <v>50</v>
      </c>
      <c r="C17" s="9" t="s">
        <v>85</v>
      </c>
      <c r="D17" s="4" t="s">
        <v>86</v>
      </c>
      <c r="E17" s="10" t="s">
        <v>87</v>
      </c>
    </row>
    <row r="18" customFormat="false" ht="15" hidden="false" customHeight="false" outlineLevel="0" collapsed="false">
      <c r="A18" s="9" t="s">
        <v>78</v>
      </c>
      <c r="B18" s="9" t="s">
        <v>54</v>
      </c>
      <c r="C18" s="9" t="s">
        <v>88</v>
      </c>
      <c r="D18" s="4" t="s">
        <v>89</v>
      </c>
      <c r="E18" s="10" t="s">
        <v>90</v>
      </c>
    </row>
    <row r="19" customFormat="false" ht="15" hidden="false" customHeight="false" outlineLevel="0" collapsed="false">
      <c r="A19" s="9" t="s">
        <v>78</v>
      </c>
      <c r="B19" s="9" t="s">
        <v>58</v>
      </c>
      <c r="C19" s="9" t="s">
        <v>91</v>
      </c>
      <c r="D19" s="4" t="s">
        <v>92</v>
      </c>
      <c r="E19" s="10" t="s">
        <v>93</v>
      </c>
    </row>
  </sheetData>
  <hyperlinks>
    <hyperlink ref="E5" r:id="rId1" display="https://wa.me/233244122855?text=Hi%20HRCC%2C%20I%27m%20interested%20in%20aPHRi%20for%20Cohort%2049.%20%28ref%3A%20FB-APHRI%29"/>
    <hyperlink ref="E6" r:id="rId2" display="https://wa.me/233244122855?text=Hi%20HRCC%2C%20I%27m%20interested%20in%20PHRi%20for%20Cohort%2049.%20%28ref%3A%20FB-PHRI%29"/>
    <hyperlink ref="E7" r:id="rId3" display="https://wa.me/233244122855?text=Hi%20HRCC%2C%20I%27m%20interested%20in%20SPHRi%20for%20Cohort%2049.%20%28ref%3A%20FB-SPHRI%29"/>
    <hyperlink ref="E8" r:id="rId4" display="https://wa.me/233244122855?text=Hi%20HRCC%2C%20I%27d%20like%20to%20know%20more%20about%20HRCC%20Consulting.%20%28ref%3A%20FB-CONSULT%29"/>
    <hyperlink ref="E9" r:id="rId5" display="https://wa.me/233244122855?text=Hi%20HRCC%2C%20I%27d%20like%20to%20know%20more%20about%20your%20HR%20certifications.%20%28ref%3A%20FB-GEN%29"/>
    <hyperlink ref="E10" r:id="rId6" display="https://wa.me/233244122855?text=Hi%20HRCC%2C%20I%27m%20interested%20in%20aPHRi%20for%20Cohort%2049.%20%28ref%3A%20IG-APHRI%29"/>
    <hyperlink ref="E11" r:id="rId7" display="https://wa.me/233244122855?text=Hi%20HRCC%2C%20I%27m%20interested%20in%20PHRi%20for%20Cohort%2049.%20%28ref%3A%20IG-PHRI%29"/>
    <hyperlink ref="E12" r:id="rId8" display="https://wa.me/233244122855?text=Hi%20HRCC%2C%20I%27m%20interested%20in%20SPHRi%20for%20Cohort%2049.%20%28ref%3A%20IG-SPHRI%29"/>
    <hyperlink ref="E13" r:id="rId9" display="https://wa.me/233244122855?text=Hi%20HRCC%2C%20I%27d%20like%20to%20know%20more%20about%20HRCC%20Consulting.%20%28ref%3A%20IG-CONSULT%29"/>
    <hyperlink ref="E14" r:id="rId10" display="https://wa.me/233244122855?text=Hi%20HRCC%2C%20I%27d%20like%20to%20know%20more%20about%20your%20HR%20certifications.%20%28ref%3A%20IG-GEN%29"/>
    <hyperlink ref="E15" r:id="rId11" display="https://wa.me/233244122855?text=Hi%20HRCC%2C%20I%27m%20interested%20in%20aPHRi%20for%20Cohort%2049.%20%28ref%3A%20LI-APHRI%29"/>
    <hyperlink ref="E16" r:id="rId12" display="https://wa.me/233244122855?text=Hi%20HRCC%2C%20I%27m%20interested%20in%20PHRi%20for%20Cohort%2049.%20%28ref%3A%20LI-PHRI%29"/>
    <hyperlink ref="E17" r:id="rId13" display="https://wa.me/233244122855?text=Hi%20HRCC%2C%20I%27m%20interested%20in%20SPHRi%20for%20Cohort%2049.%20%28ref%3A%20LI-SPHRI%29"/>
    <hyperlink ref="E18" r:id="rId14" display="https://wa.me/233244122855?text=Hi%20HRCC%2C%20I%27d%20like%20to%20know%20more%20about%20HRCC%20Consulting.%20%28ref%3A%20LI-CONSULT%29"/>
    <hyperlink ref="E19" r:id="rId15" display="https://wa.me/233244122855?text=Hi%20HRCC%2C%20I%27d%20like%20to%20know%20more%20about%20your%20HR%20certifications.%20%28ref%3A%20LI-GEN%29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2"/>
    <col collapsed="false" customWidth="true" hidden="false" outlineLevel="0" max="3" min="3" style="0" width="13"/>
    <col collapsed="false" customWidth="true" hidden="false" outlineLevel="0" max="4" min="4" style="0" width="12"/>
    <col collapsed="false" customWidth="true" hidden="false" outlineLevel="0" max="5" min="5" style="0" width="24"/>
    <col collapsed="false" customWidth="true" hidden="false" outlineLevel="0" max="6" min="6" style="0" width="90"/>
  </cols>
  <sheetData>
    <row r="1" customFormat="false" ht="17.35" hidden="false" customHeight="false" outlineLevel="0" collapsed="false">
      <c r="A1" s="1" t="s">
        <v>94</v>
      </c>
    </row>
    <row r="2" customFormat="false" ht="15" hidden="false" customHeight="false" outlineLevel="0" collapsed="false">
      <c r="A2" s="2" t="s">
        <v>95</v>
      </c>
    </row>
    <row r="4" customFormat="false" ht="15" hidden="false" customHeight="false" outlineLevel="0" collapsed="false">
      <c r="A4" s="8" t="s">
        <v>96</v>
      </c>
      <c r="B4" s="8" t="s">
        <v>97</v>
      </c>
      <c r="C4" s="8" t="s">
        <v>98</v>
      </c>
      <c r="D4" s="8" t="s">
        <v>99</v>
      </c>
      <c r="E4" s="8" t="s">
        <v>100</v>
      </c>
      <c r="F4" s="8" t="s">
        <v>101</v>
      </c>
    </row>
    <row r="5" customFormat="false" ht="15" hidden="false" customHeight="false" outlineLevel="0" collapsed="false">
      <c r="A5" s="11" t="s">
        <v>102</v>
      </c>
      <c r="B5" s="11" t="s">
        <v>103</v>
      </c>
      <c r="C5" s="11" t="s">
        <v>104</v>
      </c>
      <c r="D5" s="11" t="s">
        <v>105</v>
      </c>
      <c r="E5" s="11" t="s">
        <v>106</v>
      </c>
      <c r="F5" s="11" t="str">
        <f aca="false">IF(A5="","",A5&amp;IF(ISNUMBER(FIND("?",A5)),"&amp;","?")&amp;"utm_source="&amp;LOWER(B5)&amp;"&amp;utm_medium="&amp;LOWER(C5)&amp;"&amp;utm_campaign="&amp;LOWER(D5)&amp;IF(E5="","","&amp;utm_content="&amp;LOWER(E5)))</f>
        <v>https://www.phrglobal.com/?utm_source=instagram&amp;utm_medium=social&amp;utm_campaign=cohort49&amp;utm_content=phri_classroom</v>
      </c>
      <c r="G5" s="2" t="s">
        <v>107</v>
      </c>
    </row>
    <row r="6" customFormat="false" ht="15" hidden="false" customHeight="false" outlineLevel="0" collapsed="false">
      <c r="A6" s="12"/>
      <c r="B6" s="12"/>
      <c r="C6" s="12"/>
      <c r="D6" s="12" t="s">
        <v>105</v>
      </c>
      <c r="E6" s="12"/>
      <c r="F6" s="13" t="str">
        <f aca="false">IF(A6="","",A6&amp;IF(ISNUMBER(FIND("?",A6)),"&amp;","?")&amp;"utm_source="&amp;LOWER(B6)&amp;"&amp;utm_medium="&amp;LOWER(C6)&amp;"&amp;utm_campaign="&amp;LOWER(D6)&amp;IF(E6="","","&amp;utm_content="&amp;LOWER(E6)))</f>
        <v/>
      </c>
    </row>
    <row r="7" customFormat="false" ht="15" hidden="false" customHeight="false" outlineLevel="0" collapsed="false">
      <c r="A7" s="12"/>
      <c r="B7" s="12"/>
      <c r="C7" s="12"/>
      <c r="D7" s="12" t="s">
        <v>105</v>
      </c>
      <c r="E7" s="12"/>
      <c r="F7" s="13" t="str">
        <f aca="false">IF(A7="","",A7&amp;IF(ISNUMBER(FIND("?",A7)),"&amp;","?")&amp;"utm_source="&amp;LOWER(B7)&amp;"&amp;utm_medium="&amp;LOWER(C7)&amp;"&amp;utm_campaign="&amp;LOWER(D7)&amp;IF(E7="","","&amp;utm_content="&amp;LOWER(E7)))</f>
        <v/>
      </c>
    </row>
    <row r="8" customFormat="false" ht="15" hidden="false" customHeight="false" outlineLevel="0" collapsed="false">
      <c r="A8" s="12"/>
      <c r="B8" s="12"/>
      <c r="C8" s="12"/>
      <c r="D8" s="12" t="s">
        <v>105</v>
      </c>
      <c r="E8" s="12"/>
      <c r="F8" s="13" t="str">
        <f aca="false">IF(A8="","",A8&amp;IF(ISNUMBER(FIND("?",A8)),"&amp;","?")&amp;"utm_source="&amp;LOWER(B8)&amp;"&amp;utm_medium="&amp;LOWER(C8)&amp;"&amp;utm_campaign="&amp;LOWER(D8)&amp;IF(E8="","","&amp;utm_content="&amp;LOWER(E8)))</f>
        <v/>
      </c>
    </row>
    <row r="9" customFormat="false" ht="15" hidden="false" customHeight="false" outlineLevel="0" collapsed="false">
      <c r="A9" s="12"/>
      <c r="B9" s="12"/>
      <c r="C9" s="12"/>
      <c r="D9" s="12" t="s">
        <v>105</v>
      </c>
      <c r="E9" s="12"/>
      <c r="F9" s="13" t="str">
        <f aca="false">IF(A9="","",A9&amp;IF(ISNUMBER(FIND("?",A9)),"&amp;","?")&amp;"utm_source="&amp;LOWER(B9)&amp;"&amp;utm_medium="&amp;LOWER(C9)&amp;"&amp;utm_campaign="&amp;LOWER(D9)&amp;IF(E9="","","&amp;utm_content="&amp;LOWER(E9)))</f>
        <v/>
      </c>
    </row>
    <row r="10" customFormat="false" ht="15" hidden="false" customHeight="false" outlineLevel="0" collapsed="false">
      <c r="A10" s="12"/>
      <c r="B10" s="12"/>
      <c r="C10" s="12"/>
      <c r="D10" s="12" t="s">
        <v>105</v>
      </c>
      <c r="E10" s="12"/>
      <c r="F10" s="13" t="str">
        <f aca="false">IF(A10="","",A10&amp;IF(ISNUMBER(FIND("?",A10)),"&amp;","?")&amp;"utm_source="&amp;LOWER(B10)&amp;"&amp;utm_medium="&amp;LOWER(C10)&amp;"&amp;utm_campaign="&amp;LOWER(D10)&amp;IF(E10="","","&amp;utm_content="&amp;LOWER(E10)))</f>
        <v/>
      </c>
    </row>
    <row r="11" customFormat="false" ht="15" hidden="false" customHeight="false" outlineLevel="0" collapsed="false">
      <c r="A11" s="12"/>
      <c r="B11" s="12"/>
      <c r="C11" s="12"/>
      <c r="D11" s="12" t="s">
        <v>105</v>
      </c>
      <c r="E11" s="12"/>
      <c r="F11" s="13" t="str">
        <f aca="false">IF(A11="","",A11&amp;IF(ISNUMBER(FIND("?",A11)),"&amp;","?")&amp;"utm_source="&amp;LOWER(B11)&amp;"&amp;utm_medium="&amp;LOWER(C11)&amp;"&amp;utm_campaign="&amp;LOWER(D11)&amp;IF(E11="","","&amp;utm_content="&amp;LOWER(E11)))</f>
        <v/>
      </c>
    </row>
    <row r="12" customFormat="false" ht="15" hidden="false" customHeight="false" outlineLevel="0" collapsed="false">
      <c r="A12" s="12"/>
      <c r="B12" s="12"/>
      <c r="C12" s="12"/>
      <c r="D12" s="12" t="s">
        <v>105</v>
      </c>
      <c r="E12" s="12"/>
      <c r="F12" s="13" t="str">
        <f aca="false">IF(A12="","",A12&amp;IF(ISNUMBER(FIND("?",A12)),"&amp;","?")&amp;"utm_source="&amp;LOWER(B12)&amp;"&amp;utm_medium="&amp;LOWER(C12)&amp;"&amp;utm_campaign="&amp;LOWER(D12)&amp;IF(E12="","","&amp;utm_content="&amp;LOWER(E12)))</f>
        <v/>
      </c>
    </row>
    <row r="13" customFormat="false" ht="15" hidden="false" customHeight="false" outlineLevel="0" collapsed="false">
      <c r="A13" s="12"/>
      <c r="B13" s="12"/>
      <c r="C13" s="12"/>
      <c r="D13" s="12" t="s">
        <v>105</v>
      </c>
      <c r="E13" s="12"/>
      <c r="F13" s="13" t="str">
        <f aca="false">IF(A13="","",A13&amp;IF(ISNUMBER(FIND("?",A13)),"&amp;","?")&amp;"utm_source="&amp;LOWER(B13)&amp;"&amp;utm_medium="&amp;LOWER(C13)&amp;"&amp;utm_campaign="&amp;LOWER(D13)&amp;IF(E13="","","&amp;utm_content="&amp;LOWER(E13)))</f>
        <v/>
      </c>
    </row>
    <row r="14" customFormat="false" ht="15" hidden="false" customHeight="false" outlineLevel="0" collapsed="false">
      <c r="A14" s="12"/>
      <c r="B14" s="12"/>
      <c r="C14" s="12"/>
      <c r="D14" s="12" t="s">
        <v>105</v>
      </c>
      <c r="E14" s="12"/>
      <c r="F14" s="13" t="str">
        <f aca="false">IF(A14="","",A14&amp;IF(ISNUMBER(FIND("?",A14)),"&amp;","?")&amp;"utm_source="&amp;LOWER(B14)&amp;"&amp;utm_medium="&amp;LOWER(C14)&amp;"&amp;utm_campaign="&amp;LOWER(D14)&amp;IF(E14="","","&amp;utm_content="&amp;LOWER(E14)))</f>
        <v/>
      </c>
    </row>
    <row r="15" customFormat="false" ht="15" hidden="false" customHeight="false" outlineLevel="0" collapsed="false">
      <c r="A15" s="12"/>
      <c r="B15" s="12"/>
      <c r="C15" s="12"/>
      <c r="D15" s="12" t="s">
        <v>105</v>
      </c>
      <c r="E15" s="12"/>
      <c r="F15" s="13" t="str">
        <f aca="false">IF(A15="","",A15&amp;IF(ISNUMBER(FIND("?",A15)),"&amp;","?")&amp;"utm_source="&amp;LOWER(B15)&amp;"&amp;utm_medium="&amp;LOWER(C15)&amp;"&amp;utm_campaign="&amp;LOWER(D15)&amp;IF(E15="","","&amp;utm_content="&amp;LOWER(E15)))</f>
        <v/>
      </c>
    </row>
    <row r="16" customFormat="false" ht="15" hidden="false" customHeight="false" outlineLevel="0" collapsed="false">
      <c r="A16" s="12"/>
      <c r="B16" s="12"/>
      <c r="C16" s="12"/>
      <c r="D16" s="12" t="s">
        <v>105</v>
      </c>
      <c r="E16" s="12"/>
      <c r="F16" s="13" t="str">
        <f aca="false">IF(A16="","",A16&amp;IF(ISNUMBER(FIND("?",A16)),"&amp;","?")&amp;"utm_source="&amp;LOWER(B16)&amp;"&amp;utm_medium="&amp;LOWER(C16)&amp;"&amp;utm_campaign="&amp;LOWER(D16)&amp;IF(E16="","","&amp;utm_content="&amp;LOWER(E16)))</f>
        <v/>
      </c>
    </row>
    <row r="17" customFormat="false" ht="15" hidden="false" customHeight="false" outlineLevel="0" collapsed="false">
      <c r="A17" s="12"/>
      <c r="B17" s="12"/>
      <c r="C17" s="12"/>
      <c r="D17" s="12" t="s">
        <v>105</v>
      </c>
      <c r="E17" s="12"/>
      <c r="F17" s="13" t="str">
        <f aca="false">IF(A17="","",A17&amp;IF(ISNUMBER(FIND("?",A17)),"&amp;","?")&amp;"utm_source="&amp;LOWER(B17)&amp;"&amp;utm_medium="&amp;LOWER(C17)&amp;"&amp;utm_campaign="&amp;LOWER(D17)&amp;IF(E17="","","&amp;utm_content="&amp;LOWER(E17)))</f>
        <v/>
      </c>
    </row>
    <row r="18" customFormat="false" ht="15" hidden="false" customHeight="false" outlineLevel="0" collapsed="false">
      <c r="A18" s="12"/>
      <c r="B18" s="12"/>
      <c r="C18" s="12"/>
      <c r="D18" s="12" t="s">
        <v>105</v>
      </c>
      <c r="E18" s="12"/>
      <c r="F18" s="13" t="str">
        <f aca="false">IF(A18="","",A18&amp;IF(ISNUMBER(FIND("?",A18)),"&amp;","?")&amp;"utm_source="&amp;LOWER(B18)&amp;"&amp;utm_medium="&amp;LOWER(C18)&amp;"&amp;utm_campaign="&amp;LOWER(D18)&amp;IF(E18="","","&amp;utm_content="&amp;LOWER(E18)))</f>
        <v/>
      </c>
    </row>
    <row r="19" customFormat="false" ht="15" hidden="false" customHeight="false" outlineLevel="0" collapsed="false">
      <c r="A19" s="12"/>
      <c r="B19" s="12"/>
      <c r="C19" s="12"/>
      <c r="D19" s="12" t="s">
        <v>105</v>
      </c>
      <c r="E19" s="12"/>
      <c r="F19" s="13" t="str">
        <f aca="false">IF(A19="","",A19&amp;IF(ISNUMBER(FIND("?",A19)),"&amp;","?")&amp;"utm_source="&amp;LOWER(B19)&amp;"&amp;utm_medium="&amp;LOWER(C19)&amp;"&amp;utm_campaign="&amp;LOWER(D19)&amp;IF(E19="","","&amp;utm_content="&amp;LOWER(E19)))</f>
        <v/>
      </c>
    </row>
    <row r="20" customFormat="false" ht="15" hidden="false" customHeight="false" outlineLevel="0" collapsed="false">
      <c r="A20" s="12"/>
      <c r="B20" s="12"/>
      <c r="C20" s="12"/>
      <c r="D20" s="12" t="s">
        <v>105</v>
      </c>
      <c r="E20" s="12"/>
      <c r="F20" s="13" t="str">
        <f aca="false">IF(A20="","",A20&amp;IF(ISNUMBER(FIND("?",A20)),"&amp;","?")&amp;"utm_source="&amp;LOWER(B20)&amp;"&amp;utm_medium="&amp;LOWER(C20)&amp;"&amp;utm_campaign="&amp;LOWER(D20)&amp;IF(E20="","","&amp;utm_content="&amp;LOWER(E20)))</f>
        <v/>
      </c>
    </row>
    <row r="21" customFormat="false" ht="15" hidden="false" customHeight="false" outlineLevel="0" collapsed="false">
      <c r="A21" s="12"/>
      <c r="B21" s="12"/>
      <c r="C21" s="12"/>
      <c r="D21" s="12" t="s">
        <v>105</v>
      </c>
      <c r="E21" s="12"/>
      <c r="F21" s="13" t="str">
        <f aca="false">IF(A21="","",A21&amp;IF(ISNUMBER(FIND("?",A21)),"&amp;","?")&amp;"utm_source="&amp;LOWER(B21)&amp;"&amp;utm_medium="&amp;LOWER(C21)&amp;"&amp;utm_campaign="&amp;LOWER(D21)&amp;IF(E21="","","&amp;utm_content="&amp;LOWER(E21)))</f>
        <v/>
      </c>
    </row>
    <row r="22" customFormat="false" ht="15" hidden="false" customHeight="false" outlineLevel="0" collapsed="false">
      <c r="A22" s="12"/>
      <c r="B22" s="12"/>
      <c r="C22" s="12"/>
      <c r="D22" s="12" t="s">
        <v>105</v>
      </c>
      <c r="E22" s="12"/>
      <c r="F22" s="13" t="str">
        <f aca="false">IF(A22="","",A22&amp;IF(ISNUMBER(FIND("?",A22)),"&amp;","?")&amp;"utm_source="&amp;LOWER(B22)&amp;"&amp;utm_medium="&amp;LOWER(C22)&amp;"&amp;utm_campaign="&amp;LOWER(D22)&amp;IF(E22="","","&amp;utm_content="&amp;LOWER(E22)))</f>
        <v/>
      </c>
    </row>
    <row r="23" customFormat="false" ht="15" hidden="false" customHeight="false" outlineLevel="0" collapsed="false">
      <c r="A23" s="12"/>
      <c r="B23" s="12"/>
      <c r="C23" s="12"/>
      <c r="D23" s="12" t="s">
        <v>105</v>
      </c>
      <c r="E23" s="12"/>
      <c r="F23" s="13" t="str">
        <f aca="false">IF(A23="","",A23&amp;IF(ISNUMBER(FIND("?",A23)),"&amp;","?")&amp;"utm_source="&amp;LOWER(B23)&amp;"&amp;utm_medium="&amp;LOWER(C23)&amp;"&amp;utm_campaign="&amp;LOWER(D23)&amp;IF(E23="","","&amp;utm_content="&amp;LOWER(E23)))</f>
        <v/>
      </c>
    </row>
    <row r="24" customFormat="false" ht="15" hidden="false" customHeight="false" outlineLevel="0" collapsed="false">
      <c r="A24" s="12"/>
      <c r="B24" s="12"/>
      <c r="C24" s="12"/>
      <c r="D24" s="12" t="s">
        <v>105</v>
      </c>
      <c r="E24" s="12"/>
      <c r="F24" s="13" t="str">
        <f aca="false">IF(A24="","",A24&amp;IF(ISNUMBER(FIND("?",A24)),"&amp;","?")&amp;"utm_source="&amp;LOWER(B24)&amp;"&amp;utm_medium="&amp;LOWER(C24)&amp;"&amp;utm_campaign="&amp;LOWER(D24)&amp;IF(E24="","","&amp;utm_content="&amp;LOWER(E24)))</f>
        <v/>
      </c>
    </row>
    <row r="25" customFormat="false" ht="15" hidden="false" customHeight="false" outlineLevel="0" collapsed="false">
      <c r="A25" s="12"/>
      <c r="B25" s="12"/>
      <c r="C25" s="12"/>
      <c r="D25" s="12" t="s">
        <v>105</v>
      </c>
      <c r="E25" s="12"/>
      <c r="F25" s="13" t="str">
        <f aca="false">IF(A25="","",A25&amp;IF(ISNUMBER(FIND("?",A25)),"&amp;","?")&amp;"utm_source="&amp;LOWER(B25)&amp;"&amp;utm_medium="&amp;LOWER(C25)&amp;"&amp;utm_campaign="&amp;LOWER(D25)&amp;IF(E25="","","&amp;utm_content="&amp;LOWER(E25)))</f>
        <v/>
      </c>
    </row>
    <row r="26" customFormat="false" ht="15" hidden="false" customHeight="false" outlineLevel="0" collapsed="false">
      <c r="A26" s="12"/>
      <c r="B26" s="12"/>
      <c r="C26" s="12"/>
      <c r="D26" s="12" t="s">
        <v>105</v>
      </c>
      <c r="E26" s="12"/>
      <c r="F26" s="13" t="str">
        <f aca="false">IF(A26="","",A26&amp;IF(ISNUMBER(FIND("?",A26)),"&amp;","?")&amp;"utm_source="&amp;LOWER(B26)&amp;"&amp;utm_medium="&amp;LOWER(C26)&amp;"&amp;utm_campaign="&amp;LOWER(D26)&amp;IF(E26="","","&amp;utm_content="&amp;LOWER(E26)))</f>
        <v/>
      </c>
    </row>
    <row r="27" customFormat="false" ht="15" hidden="false" customHeight="false" outlineLevel="0" collapsed="false">
      <c r="A27" s="12"/>
      <c r="B27" s="12"/>
      <c r="C27" s="12"/>
      <c r="D27" s="12" t="s">
        <v>105</v>
      </c>
      <c r="E27" s="12"/>
      <c r="F27" s="13" t="str">
        <f aca="false">IF(A27="","",A27&amp;IF(ISNUMBER(FIND("?",A27)),"&amp;","?")&amp;"utm_source="&amp;LOWER(B27)&amp;"&amp;utm_medium="&amp;LOWER(C27)&amp;"&amp;utm_campaign="&amp;LOWER(D27)&amp;IF(E27="","","&amp;utm_content="&amp;LOWER(E27)))</f>
        <v/>
      </c>
    </row>
    <row r="28" customFormat="false" ht="15" hidden="false" customHeight="false" outlineLevel="0" collapsed="false">
      <c r="A28" s="12"/>
      <c r="B28" s="12"/>
      <c r="C28" s="12"/>
      <c r="D28" s="12" t="s">
        <v>105</v>
      </c>
      <c r="E28" s="12"/>
      <c r="F28" s="13" t="str">
        <f aca="false">IF(A28="","",A28&amp;IF(ISNUMBER(FIND("?",A28)),"&amp;","?")&amp;"utm_source="&amp;LOWER(B28)&amp;"&amp;utm_medium="&amp;LOWER(C28)&amp;"&amp;utm_campaign="&amp;LOWER(D28)&amp;IF(E28="","","&amp;utm_content="&amp;LOWER(E28)))</f>
        <v/>
      </c>
    </row>
    <row r="29" customFormat="false" ht="15" hidden="false" customHeight="false" outlineLevel="0" collapsed="false">
      <c r="A29" s="12"/>
      <c r="B29" s="12"/>
      <c r="C29" s="12"/>
      <c r="D29" s="12" t="s">
        <v>105</v>
      </c>
      <c r="E29" s="12"/>
      <c r="F29" s="13" t="str">
        <f aca="false">IF(A29="","",A29&amp;IF(ISNUMBER(FIND("?",A29)),"&amp;","?")&amp;"utm_source="&amp;LOWER(B29)&amp;"&amp;utm_medium="&amp;LOWER(C29)&amp;"&amp;utm_campaign="&amp;LOWER(D29)&amp;IF(E29="","","&amp;utm_content="&amp;LOWER(E29)))</f>
        <v/>
      </c>
    </row>
    <row r="30" customFormat="false" ht="15" hidden="false" customHeight="false" outlineLevel="0" collapsed="false">
      <c r="A30" s="12"/>
      <c r="B30" s="12"/>
      <c r="C30" s="12"/>
      <c r="D30" s="12" t="s">
        <v>105</v>
      </c>
      <c r="E30" s="12"/>
      <c r="F30" s="13" t="str">
        <f aca="false">IF(A30="","",A30&amp;IF(ISNUMBER(FIND("?",A30)),"&amp;","?")&amp;"utm_source="&amp;LOWER(B30)&amp;"&amp;utm_medium="&amp;LOWER(C30)&amp;"&amp;utm_campaign="&amp;LOWER(D30)&amp;IF(E30="","","&amp;utm_content="&amp;LOWER(E30)))</f>
        <v/>
      </c>
    </row>
  </sheetData>
  <dataValidations count="2">
    <dataValidation allowBlank="true" errorStyle="stop" operator="between" showDropDown="false" showErrorMessage="false" showInputMessage="false" sqref="B6:B30" type="list">
      <formula1>"facebook,instagram,linkedin"</formula1>
      <formula2>0</formula2>
    </dataValidation>
    <dataValidation allowBlank="true" errorStyle="stop" operator="between" showDropDown="false" showErrorMessage="false" showInputMessage="false" sqref="C6:C30" type="list">
      <formula1>"social,paid_social"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2"/>
    <col collapsed="false" customWidth="true" hidden="false" outlineLevel="0" max="3" min="3" style="0" width="22"/>
    <col collapsed="false" customWidth="true" hidden="false" outlineLevel="0" max="4" min="4" style="0" width="26"/>
    <col collapsed="false" customWidth="true" hidden="false" outlineLevel="0" max="6" min="5" style="0" width="15"/>
    <col collapsed="false" customWidth="true" hidden="false" outlineLevel="0" max="7" min="7" style="0" width="30"/>
  </cols>
  <sheetData>
    <row r="1" customFormat="false" ht="17.35" hidden="false" customHeight="false" outlineLevel="0" collapsed="false">
      <c r="A1" s="1" t="s">
        <v>108</v>
      </c>
    </row>
    <row r="2" customFormat="false" ht="15" hidden="false" customHeight="false" outlineLevel="0" collapsed="false">
      <c r="A2" s="2" t="s">
        <v>109</v>
      </c>
    </row>
    <row r="4" customFormat="false" ht="15" hidden="false" customHeight="false" outlineLevel="0" collapsed="false">
      <c r="A4" s="8" t="s">
        <v>110</v>
      </c>
      <c r="B4" s="8" t="s">
        <v>36</v>
      </c>
      <c r="C4" s="8" t="s">
        <v>111</v>
      </c>
      <c r="D4" s="8" t="s">
        <v>112</v>
      </c>
      <c r="E4" s="8" t="s">
        <v>113</v>
      </c>
      <c r="F4" s="8" t="s">
        <v>114</v>
      </c>
      <c r="G4" s="8" t="s">
        <v>115</v>
      </c>
    </row>
    <row r="5" customFormat="false" ht="15" hidden="false" customHeight="false" outlineLevel="0" collapsed="false">
      <c r="A5" s="11" t="s">
        <v>116</v>
      </c>
      <c r="B5" s="11" t="s">
        <v>62</v>
      </c>
      <c r="C5" s="14" t="n">
        <v>46293.4201388889</v>
      </c>
      <c r="D5" s="14" t="n">
        <v>46293.4861111111</v>
      </c>
      <c r="E5" s="11" t="n">
        <f aca="false">IF(AND(C5&lt;&gt;"",D5&lt;&gt;""),ROUND((D5-C5)*1440,0),"")</f>
        <v>95</v>
      </c>
      <c r="F5" s="11" t="str">
        <f aca="false">IF(E5="","",IF(E5&lt;=15,"Yes","No"))</f>
        <v>No</v>
      </c>
      <c r="G5" s="11" t="s">
        <v>117</v>
      </c>
    </row>
    <row r="6" customFormat="false" ht="15" hidden="false" customHeight="false" outlineLevel="0" collapsed="false">
      <c r="A6" s="13" t="n">
        <v>1</v>
      </c>
      <c r="B6" s="12"/>
      <c r="C6" s="15"/>
      <c r="D6" s="15"/>
      <c r="E6" s="16" t="str">
        <f aca="false">IF(AND(C6&lt;&gt;"",D6&lt;&gt;""),ROUND((D6-C6)*1440,0),"")</f>
        <v/>
      </c>
      <c r="F6" s="13" t="str">
        <f aca="false">IF(E6="","",IF(E6&lt;=15,"Yes","No"))</f>
        <v/>
      </c>
      <c r="G6" s="12"/>
    </row>
    <row r="7" customFormat="false" ht="15" hidden="false" customHeight="false" outlineLevel="0" collapsed="false">
      <c r="A7" s="13" t="n">
        <v>2</v>
      </c>
      <c r="B7" s="12"/>
      <c r="C7" s="15"/>
      <c r="D7" s="15"/>
      <c r="E7" s="16" t="str">
        <f aca="false">IF(AND(C7&lt;&gt;"",D7&lt;&gt;""),ROUND((D7-C7)*1440,0),"")</f>
        <v/>
      </c>
      <c r="F7" s="13" t="str">
        <f aca="false">IF(E7="","",IF(E7&lt;=15,"Yes","No"))</f>
        <v/>
      </c>
      <c r="G7" s="12"/>
    </row>
    <row r="8" customFormat="false" ht="15" hidden="false" customHeight="false" outlineLevel="0" collapsed="false">
      <c r="A8" s="13" t="n">
        <v>3</v>
      </c>
      <c r="B8" s="12"/>
      <c r="C8" s="15"/>
      <c r="D8" s="15"/>
      <c r="E8" s="16" t="str">
        <f aca="false">IF(AND(C8&lt;&gt;"",D8&lt;&gt;""),ROUND((D8-C8)*1440,0),"")</f>
        <v/>
      </c>
      <c r="F8" s="13" t="str">
        <f aca="false">IF(E8="","",IF(E8&lt;=15,"Yes","No"))</f>
        <v/>
      </c>
      <c r="G8" s="12"/>
    </row>
    <row r="9" customFormat="false" ht="15" hidden="false" customHeight="false" outlineLevel="0" collapsed="false">
      <c r="A9" s="13" t="n">
        <v>4</v>
      </c>
      <c r="B9" s="12"/>
      <c r="C9" s="15"/>
      <c r="D9" s="15"/>
      <c r="E9" s="16" t="str">
        <f aca="false">IF(AND(C9&lt;&gt;"",D9&lt;&gt;""),ROUND((D9-C9)*1440,0),"")</f>
        <v/>
      </c>
      <c r="F9" s="13" t="str">
        <f aca="false">IF(E9="","",IF(E9&lt;=15,"Yes","No"))</f>
        <v/>
      </c>
      <c r="G9" s="12"/>
    </row>
    <row r="10" customFormat="false" ht="15" hidden="false" customHeight="false" outlineLevel="0" collapsed="false">
      <c r="A10" s="13" t="n">
        <v>5</v>
      </c>
      <c r="B10" s="12"/>
      <c r="C10" s="15"/>
      <c r="D10" s="15"/>
      <c r="E10" s="16" t="str">
        <f aca="false">IF(AND(C10&lt;&gt;"",D10&lt;&gt;""),ROUND((D10-C10)*1440,0),"")</f>
        <v/>
      </c>
      <c r="F10" s="13" t="str">
        <f aca="false">IF(E10="","",IF(E10&lt;=15,"Yes","No"))</f>
        <v/>
      </c>
      <c r="G10" s="12"/>
    </row>
    <row r="11" customFormat="false" ht="15" hidden="false" customHeight="false" outlineLevel="0" collapsed="false">
      <c r="A11" s="13" t="n">
        <v>6</v>
      </c>
      <c r="B11" s="12"/>
      <c r="C11" s="15"/>
      <c r="D11" s="15"/>
      <c r="E11" s="16" t="str">
        <f aca="false">IF(AND(C11&lt;&gt;"",D11&lt;&gt;""),ROUND((D11-C11)*1440,0),"")</f>
        <v/>
      </c>
      <c r="F11" s="13" t="str">
        <f aca="false">IF(E11="","",IF(E11&lt;=15,"Yes","No"))</f>
        <v/>
      </c>
      <c r="G11" s="12"/>
    </row>
    <row r="12" customFormat="false" ht="15" hidden="false" customHeight="false" outlineLevel="0" collapsed="false">
      <c r="A12" s="13" t="n">
        <v>7</v>
      </c>
      <c r="B12" s="12"/>
      <c r="C12" s="15"/>
      <c r="D12" s="15"/>
      <c r="E12" s="16" t="str">
        <f aca="false">IF(AND(C12&lt;&gt;"",D12&lt;&gt;""),ROUND((D12-C12)*1440,0),"")</f>
        <v/>
      </c>
      <c r="F12" s="13" t="str">
        <f aca="false">IF(E12="","",IF(E12&lt;=15,"Yes","No"))</f>
        <v/>
      </c>
      <c r="G12" s="12"/>
    </row>
    <row r="13" customFormat="false" ht="15" hidden="false" customHeight="false" outlineLevel="0" collapsed="false">
      <c r="A13" s="13" t="n">
        <v>8</v>
      </c>
      <c r="B13" s="12"/>
      <c r="C13" s="15"/>
      <c r="D13" s="15"/>
      <c r="E13" s="16" t="str">
        <f aca="false">IF(AND(C13&lt;&gt;"",D13&lt;&gt;""),ROUND((D13-C13)*1440,0),"")</f>
        <v/>
      </c>
      <c r="F13" s="13" t="str">
        <f aca="false">IF(E13="","",IF(E13&lt;=15,"Yes","No"))</f>
        <v/>
      </c>
      <c r="G13" s="12"/>
    </row>
    <row r="14" customFormat="false" ht="15" hidden="false" customHeight="false" outlineLevel="0" collapsed="false">
      <c r="A14" s="13" t="n">
        <v>9</v>
      </c>
      <c r="B14" s="12"/>
      <c r="C14" s="15"/>
      <c r="D14" s="15"/>
      <c r="E14" s="16" t="str">
        <f aca="false">IF(AND(C14&lt;&gt;"",D14&lt;&gt;""),ROUND((D14-C14)*1440,0),"")</f>
        <v/>
      </c>
      <c r="F14" s="13" t="str">
        <f aca="false">IF(E14="","",IF(E14&lt;=15,"Yes","No"))</f>
        <v/>
      </c>
      <c r="G14" s="12"/>
    </row>
    <row r="15" customFormat="false" ht="15" hidden="false" customHeight="false" outlineLevel="0" collapsed="false">
      <c r="A15" s="13" t="n">
        <v>10</v>
      </c>
      <c r="B15" s="12"/>
      <c r="C15" s="15"/>
      <c r="D15" s="15"/>
      <c r="E15" s="16" t="str">
        <f aca="false">IF(AND(C15&lt;&gt;"",D15&lt;&gt;""),ROUND((D15-C15)*1440,0),"")</f>
        <v/>
      </c>
      <c r="F15" s="13" t="str">
        <f aca="false">IF(E15="","",IF(E15&lt;=15,"Yes","No"))</f>
        <v/>
      </c>
      <c r="G15" s="12"/>
    </row>
    <row r="16" customFormat="false" ht="15" hidden="false" customHeight="false" outlineLevel="0" collapsed="false">
      <c r="A16" s="13" t="n">
        <v>11</v>
      </c>
      <c r="B16" s="12"/>
      <c r="C16" s="15"/>
      <c r="D16" s="15"/>
      <c r="E16" s="16" t="str">
        <f aca="false">IF(AND(C16&lt;&gt;"",D16&lt;&gt;""),ROUND((D16-C16)*1440,0),"")</f>
        <v/>
      </c>
      <c r="F16" s="13" t="str">
        <f aca="false">IF(E16="","",IF(E16&lt;=15,"Yes","No"))</f>
        <v/>
      </c>
      <c r="G16" s="12"/>
    </row>
    <row r="17" customFormat="false" ht="15" hidden="false" customHeight="false" outlineLevel="0" collapsed="false">
      <c r="A17" s="13" t="n">
        <v>12</v>
      </c>
      <c r="B17" s="12"/>
      <c r="C17" s="15"/>
      <c r="D17" s="15"/>
      <c r="E17" s="16" t="str">
        <f aca="false">IF(AND(C17&lt;&gt;"",D17&lt;&gt;""),ROUND((D17-C17)*1440,0),"")</f>
        <v/>
      </c>
      <c r="F17" s="13" t="str">
        <f aca="false">IF(E17="","",IF(E17&lt;=15,"Yes","No"))</f>
        <v/>
      </c>
      <c r="G17" s="12"/>
    </row>
    <row r="18" customFormat="false" ht="15" hidden="false" customHeight="false" outlineLevel="0" collapsed="false">
      <c r="A18" s="13" t="n">
        <v>13</v>
      </c>
      <c r="B18" s="12"/>
      <c r="C18" s="15"/>
      <c r="D18" s="15"/>
      <c r="E18" s="16" t="str">
        <f aca="false">IF(AND(C18&lt;&gt;"",D18&lt;&gt;""),ROUND((D18-C18)*1440,0),"")</f>
        <v/>
      </c>
      <c r="F18" s="13" t="str">
        <f aca="false">IF(E18="","",IF(E18&lt;=15,"Yes","No"))</f>
        <v/>
      </c>
      <c r="G18" s="12"/>
    </row>
    <row r="19" customFormat="false" ht="15" hidden="false" customHeight="false" outlineLevel="0" collapsed="false">
      <c r="A19" s="13" t="n">
        <v>14</v>
      </c>
      <c r="B19" s="12"/>
      <c r="C19" s="15"/>
      <c r="D19" s="15"/>
      <c r="E19" s="16" t="str">
        <f aca="false">IF(AND(C19&lt;&gt;"",D19&lt;&gt;""),ROUND((D19-C19)*1440,0),"")</f>
        <v/>
      </c>
      <c r="F19" s="13" t="str">
        <f aca="false">IF(E19="","",IF(E19&lt;=15,"Yes","No"))</f>
        <v/>
      </c>
      <c r="G19" s="12"/>
    </row>
    <row r="20" customFormat="false" ht="15" hidden="false" customHeight="false" outlineLevel="0" collapsed="false">
      <c r="A20" s="13" t="n">
        <v>15</v>
      </c>
      <c r="B20" s="12"/>
      <c r="C20" s="15"/>
      <c r="D20" s="15"/>
      <c r="E20" s="16" t="str">
        <f aca="false">IF(AND(C20&lt;&gt;"",D20&lt;&gt;""),ROUND((D20-C20)*1440,0),"")</f>
        <v/>
      </c>
      <c r="F20" s="13" t="str">
        <f aca="false">IF(E20="","",IF(E20&lt;=15,"Yes","No"))</f>
        <v/>
      </c>
      <c r="G20" s="12"/>
    </row>
    <row r="21" customFormat="false" ht="15" hidden="false" customHeight="false" outlineLevel="0" collapsed="false">
      <c r="A21" s="13" t="n">
        <v>16</v>
      </c>
      <c r="B21" s="12"/>
      <c r="C21" s="15"/>
      <c r="D21" s="15"/>
      <c r="E21" s="16" t="str">
        <f aca="false">IF(AND(C21&lt;&gt;"",D21&lt;&gt;""),ROUND((D21-C21)*1440,0),"")</f>
        <v/>
      </c>
      <c r="F21" s="13" t="str">
        <f aca="false">IF(E21="","",IF(E21&lt;=15,"Yes","No"))</f>
        <v/>
      </c>
      <c r="G21" s="12"/>
    </row>
    <row r="22" customFormat="false" ht="15" hidden="false" customHeight="false" outlineLevel="0" collapsed="false">
      <c r="A22" s="13" t="n">
        <v>17</v>
      </c>
      <c r="B22" s="12"/>
      <c r="C22" s="15"/>
      <c r="D22" s="15"/>
      <c r="E22" s="16" t="str">
        <f aca="false">IF(AND(C22&lt;&gt;"",D22&lt;&gt;""),ROUND((D22-C22)*1440,0),"")</f>
        <v/>
      </c>
      <c r="F22" s="13" t="str">
        <f aca="false">IF(E22="","",IF(E22&lt;=15,"Yes","No"))</f>
        <v/>
      </c>
      <c r="G22" s="12"/>
    </row>
    <row r="23" customFormat="false" ht="15" hidden="false" customHeight="false" outlineLevel="0" collapsed="false">
      <c r="A23" s="13" t="n">
        <v>18</v>
      </c>
      <c r="B23" s="12"/>
      <c r="C23" s="15"/>
      <c r="D23" s="15"/>
      <c r="E23" s="16" t="str">
        <f aca="false">IF(AND(C23&lt;&gt;"",D23&lt;&gt;""),ROUND((D23-C23)*1440,0),"")</f>
        <v/>
      </c>
      <c r="F23" s="13" t="str">
        <f aca="false">IF(E23="","",IF(E23&lt;=15,"Yes","No"))</f>
        <v/>
      </c>
      <c r="G23" s="12"/>
    </row>
    <row r="24" customFormat="false" ht="15" hidden="false" customHeight="false" outlineLevel="0" collapsed="false">
      <c r="A24" s="13" t="n">
        <v>19</v>
      </c>
      <c r="B24" s="12"/>
      <c r="C24" s="15"/>
      <c r="D24" s="15"/>
      <c r="E24" s="16" t="str">
        <f aca="false">IF(AND(C24&lt;&gt;"",D24&lt;&gt;""),ROUND((D24-C24)*1440,0),"")</f>
        <v/>
      </c>
      <c r="F24" s="13" t="str">
        <f aca="false">IF(E24="","",IF(E24&lt;=15,"Yes","No"))</f>
        <v/>
      </c>
      <c r="G24" s="12"/>
    </row>
    <row r="25" customFormat="false" ht="15" hidden="false" customHeight="false" outlineLevel="0" collapsed="false">
      <c r="A25" s="13" t="n">
        <v>20</v>
      </c>
      <c r="B25" s="12"/>
      <c r="C25" s="15"/>
      <c r="D25" s="15"/>
      <c r="E25" s="16" t="str">
        <f aca="false">IF(AND(C25&lt;&gt;"",D25&lt;&gt;""),ROUND((D25-C25)*1440,0),"")</f>
        <v/>
      </c>
      <c r="F25" s="13" t="str">
        <f aca="false">IF(E25="","",IF(E25&lt;=15,"Yes","No"))</f>
        <v/>
      </c>
      <c r="G25" s="12"/>
    </row>
    <row r="27" customFormat="false" ht="15" hidden="false" customHeight="false" outlineLevel="0" collapsed="false">
      <c r="D27" s="5" t="s">
        <v>118</v>
      </c>
      <c r="E27" s="17" t="n">
        <f aca="false">COUNT(E6:E25)</f>
        <v>0</v>
      </c>
    </row>
    <row r="28" customFormat="false" ht="15" hidden="false" customHeight="false" outlineLevel="0" collapsed="false">
      <c r="D28" s="5" t="s">
        <v>119</v>
      </c>
      <c r="E28" s="17" t="str">
        <f aca="false">IFERROR(AVERAGE(E6:E25),"")</f>
        <v/>
      </c>
    </row>
    <row r="29" customFormat="false" ht="15" hidden="false" customHeight="false" outlineLevel="0" collapsed="false">
      <c r="D29" s="5" t="s">
        <v>120</v>
      </c>
      <c r="E29" s="17" t="str">
        <f aca="false">IFERROR(MEDIAN(E6:E25),"")</f>
        <v/>
      </c>
    </row>
    <row r="30" customFormat="false" ht="15" hidden="false" customHeight="false" outlineLevel="0" collapsed="false">
      <c r="D30" s="5" t="s">
        <v>121</v>
      </c>
      <c r="E30" s="18" t="str">
        <f aca="false">IFERROR(COUNTIF(F6:F25,"Yes")/COUNT(E6:E25),"")</f>
        <v/>
      </c>
    </row>
    <row r="32" customFormat="false" ht="15" hidden="false" customHeight="false" outlineLevel="0" collapsed="false">
      <c r="A32" s="19" t="s">
        <v>122</v>
      </c>
    </row>
  </sheetData>
  <dataValidations count="1">
    <dataValidation allowBlank="true" errorStyle="stop" operator="between" showDropDown="false" showErrorMessage="false" showInputMessage="false" sqref="B6:B25" type="list">
      <formula1>"Facebook,Instagram"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3" min="2" style="0" width="13"/>
    <col collapsed="false" customWidth="true" hidden="false" outlineLevel="0" max="4" min="4" style="0" width="11"/>
    <col collapsed="false" customWidth="true" hidden="false" outlineLevel="0" max="7" min="5" style="0" width="10"/>
    <col collapsed="false" customWidth="true" hidden="false" outlineLevel="0" max="9" min="8" style="0" width="11"/>
    <col collapsed="false" customWidth="true" hidden="false" outlineLevel="0" max="11" min="10" style="0" width="12"/>
    <col collapsed="false" customWidth="true" hidden="false" outlineLevel="0" max="12" min="12" style="0" width="30"/>
  </cols>
  <sheetData>
    <row r="1" customFormat="false" ht="17.35" hidden="false" customHeight="false" outlineLevel="0" collapsed="false">
      <c r="A1" s="1" t="s">
        <v>14</v>
      </c>
    </row>
    <row r="2" customFormat="false" ht="15" hidden="false" customHeight="false" outlineLevel="0" collapsed="false">
      <c r="A2" s="2" t="s">
        <v>123</v>
      </c>
    </row>
    <row r="4" customFormat="false" ht="42" hidden="false" customHeight="true" outlineLevel="0" collapsed="false">
      <c r="A4" s="8" t="s">
        <v>124</v>
      </c>
      <c r="B4" s="8" t="s">
        <v>125</v>
      </c>
      <c r="C4" s="8" t="s">
        <v>126</v>
      </c>
      <c r="D4" s="8" t="s">
        <v>127</v>
      </c>
      <c r="E4" s="8" t="s">
        <v>128</v>
      </c>
      <c r="F4" s="8" t="s">
        <v>129</v>
      </c>
      <c r="G4" s="8" t="s">
        <v>130</v>
      </c>
      <c r="H4" s="8" t="s">
        <v>131</v>
      </c>
      <c r="I4" s="8" t="s">
        <v>132</v>
      </c>
      <c r="J4" s="8" t="s">
        <v>133</v>
      </c>
      <c r="K4" s="8" t="s">
        <v>134</v>
      </c>
      <c r="L4" s="8" t="s">
        <v>135</v>
      </c>
    </row>
    <row r="5" customFormat="false" ht="15" hidden="false" customHeight="false" outlineLevel="0" collapsed="false">
      <c r="A5" s="20" t="n">
        <v>46300</v>
      </c>
      <c r="B5" s="21"/>
      <c r="C5" s="21"/>
      <c r="D5" s="22" t="str">
        <f aca="false">IF(OR(B5="",B5=0,C5=""),"",C5/B5)</f>
        <v/>
      </c>
      <c r="E5" s="21"/>
      <c r="F5" s="21"/>
      <c r="G5" s="21"/>
      <c r="H5" s="16" t="str">
        <f aca="false">IF(COUNT(E5:G5)=0,"",SUM(E5:G5))</f>
        <v/>
      </c>
      <c r="I5" s="21"/>
      <c r="J5" s="21"/>
      <c r="K5" s="23"/>
      <c r="L5" s="12"/>
    </row>
    <row r="6" customFormat="false" ht="15" hidden="false" customHeight="false" outlineLevel="0" collapsed="false">
      <c r="A6" s="20" t="n">
        <v>46307</v>
      </c>
      <c r="B6" s="21"/>
      <c r="C6" s="21"/>
      <c r="D6" s="22" t="str">
        <f aca="false">IF(OR(B6="",B6=0,C6=""),"",C6/B6)</f>
        <v/>
      </c>
      <c r="E6" s="21"/>
      <c r="F6" s="21"/>
      <c r="G6" s="21"/>
      <c r="H6" s="16" t="str">
        <f aca="false">IF(COUNT(E6:G6)=0,"",SUM(E6:G6))</f>
        <v/>
      </c>
      <c r="I6" s="21"/>
      <c r="J6" s="21"/>
      <c r="K6" s="23"/>
      <c r="L6" s="12"/>
    </row>
    <row r="7" customFormat="false" ht="15" hidden="false" customHeight="false" outlineLevel="0" collapsed="false">
      <c r="A7" s="20" t="n">
        <v>46314</v>
      </c>
      <c r="B7" s="21"/>
      <c r="C7" s="21"/>
      <c r="D7" s="22" t="str">
        <f aca="false">IF(OR(B7="",B7=0,C7=""),"",C7/B7)</f>
        <v/>
      </c>
      <c r="E7" s="21"/>
      <c r="F7" s="21"/>
      <c r="G7" s="21"/>
      <c r="H7" s="16" t="str">
        <f aca="false">IF(COUNT(E7:G7)=0,"",SUM(E7:G7))</f>
        <v/>
      </c>
      <c r="I7" s="21"/>
      <c r="J7" s="21"/>
      <c r="K7" s="23"/>
      <c r="L7" s="12"/>
    </row>
    <row r="8" customFormat="false" ht="15" hidden="false" customHeight="false" outlineLevel="0" collapsed="false">
      <c r="A8" s="20" t="n">
        <v>46321</v>
      </c>
      <c r="B8" s="21"/>
      <c r="C8" s="21"/>
      <c r="D8" s="22" t="str">
        <f aca="false">IF(OR(B8="",B8=0,C8=""),"",C8/B8)</f>
        <v/>
      </c>
      <c r="E8" s="21"/>
      <c r="F8" s="21"/>
      <c r="G8" s="21"/>
      <c r="H8" s="16" t="str">
        <f aca="false">IF(COUNT(E8:G8)=0,"",SUM(E8:G8))</f>
        <v/>
      </c>
      <c r="I8" s="21"/>
      <c r="J8" s="21"/>
      <c r="K8" s="23"/>
      <c r="L8" s="12"/>
    </row>
    <row r="9" customFormat="false" ht="15" hidden="false" customHeight="false" outlineLevel="0" collapsed="false">
      <c r="A9" s="20" t="n">
        <v>46328</v>
      </c>
      <c r="B9" s="21"/>
      <c r="C9" s="21"/>
      <c r="D9" s="22" t="str">
        <f aca="false">IF(OR(B9="",B9=0,C9=""),"",C9/B9)</f>
        <v/>
      </c>
      <c r="E9" s="21"/>
      <c r="F9" s="21"/>
      <c r="G9" s="21"/>
      <c r="H9" s="16" t="str">
        <f aca="false">IF(COUNT(E9:G9)=0,"",SUM(E9:G9))</f>
        <v/>
      </c>
      <c r="I9" s="21"/>
      <c r="J9" s="21"/>
      <c r="K9" s="23"/>
      <c r="L9" s="12"/>
    </row>
    <row r="10" customFormat="false" ht="15" hidden="false" customHeight="false" outlineLevel="0" collapsed="false">
      <c r="A10" s="20" t="n">
        <v>46335</v>
      </c>
      <c r="B10" s="21"/>
      <c r="C10" s="21"/>
      <c r="D10" s="22" t="str">
        <f aca="false">IF(OR(B10="",B10=0,C10=""),"",C10/B10)</f>
        <v/>
      </c>
      <c r="E10" s="21"/>
      <c r="F10" s="21"/>
      <c r="G10" s="21"/>
      <c r="H10" s="16" t="str">
        <f aca="false">IF(COUNT(E10:G10)=0,"",SUM(E10:G10))</f>
        <v/>
      </c>
      <c r="I10" s="21"/>
      <c r="J10" s="21"/>
      <c r="K10" s="23"/>
      <c r="L10" s="12"/>
    </row>
    <row r="11" customFormat="false" ht="15" hidden="false" customHeight="false" outlineLevel="0" collapsed="false">
      <c r="A11" s="20" t="n">
        <v>46342</v>
      </c>
      <c r="B11" s="21"/>
      <c r="C11" s="21"/>
      <c r="D11" s="22" t="str">
        <f aca="false">IF(OR(B11="",B11=0,C11=""),"",C11/B11)</f>
        <v/>
      </c>
      <c r="E11" s="21"/>
      <c r="F11" s="21"/>
      <c r="G11" s="21"/>
      <c r="H11" s="16" t="str">
        <f aca="false">IF(COUNT(E11:G11)=0,"",SUM(E11:G11))</f>
        <v/>
      </c>
      <c r="I11" s="21"/>
      <c r="J11" s="21"/>
      <c r="K11" s="23"/>
      <c r="L11" s="12"/>
    </row>
    <row r="12" customFormat="false" ht="15" hidden="false" customHeight="false" outlineLevel="0" collapsed="false">
      <c r="A12" s="20" t="n">
        <v>46349</v>
      </c>
      <c r="B12" s="21"/>
      <c r="C12" s="21"/>
      <c r="D12" s="22" t="str">
        <f aca="false">IF(OR(B12="",B12=0,C12=""),"",C12/B12)</f>
        <v/>
      </c>
      <c r="E12" s="21"/>
      <c r="F12" s="21"/>
      <c r="G12" s="21"/>
      <c r="H12" s="16" t="str">
        <f aca="false">IF(COUNT(E12:G12)=0,"",SUM(E12:G12))</f>
        <v/>
      </c>
      <c r="I12" s="21"/>
      <c r="J12" s="21"/>
      <c r="K12" s="23"/>
      <c r="L12" s="12"/>
    </row>
    <row r="13" customFormat="false" ht="15" hidden="false" customHeight="false" outlineLevel="0" collapsed="false">
      <c r="A13" s="20" t="n">
        <v>46356</v>
      </c>
      <c r="B13" s="21"/>
      <c r="C13" s="21"/>
      <c r="D13" s="22" t="str">
        <f aca="false">IF(OR(B13="",B13=0,C13=""),"",C13/B13)</f>
        <v/>
      </c>
      <c r="E13" s="21"/>
      <c r="F13" s="21"/>
      <c r="G13" s="21"/>
      <c r="H13" s="16" t="str">
        <f aca="false">IF(COUNT(E13:G13)=0,"",SUM(E13:G13))</f>
        <v/>
      </c>
      <c r="I13" s="21"/>
      <c r="J13" s="21"/>
      <c r="K13" s="23"/>
      <c r="L13" s="12"/>
    </row>
    <row r="14" customFormat="false" ht="15" hidden="false" customHeight="false" outlineLevel="0" collapsed="false">
      <c r="A14" s="20" t="n">
        <v>46363</v>
      </c>
      <c r="B14" s="21"/>
      <c r="C14" s="21"/>
      <c r="D14" s="22" t="str">
        <f aca="false">IF(OR(B14="",B14=0,C14=""),"",C14/B14)</f>
        <v/>
      </c>
      <c r="E14" s="21"/>
      <c r="F14" s="21"/>
      <c r="G14" s="21"/>
      <c r="H14" s="16" t="str">
        <f aca="false">IF(COUNT(E14:G14)=0,"",SUM(E14:G14))</f>
        <v/>
      </c>
      <c r="I14" s="21"/>
      <c r="J14" s="21"/>
      <c r="K14" s="23"/>
      <c r="L14" s="12"/>
    </row>
    <row r="15" customFormat="false" ht="15" hidden="false" customHeight="false" outlineLevel="0" collapsed="false">
      <c r="A15" s="20" t="n">
        <v>46370</v>
      </c>
      <c r="B15" s="21"/>
      <c r="C15" s="21"/>
      <c r="D15" s="22" t="str">
        <f aca="false">IF(OR(B15="",B15=0,C15=""),"",C15/B15)</f>
        <v/>
      </c>
      <c r="E15" s="21"/>
      <c r="F15" s="21"/>
      <c r="G15" s="21"/>
      <c r="H15" s="16" t="str">
        <f aca="false">IF(COUNT(E15:G15)=0,"",SUM(E15:G15))</f>
        <v/>
      </c>
      <c r="I15" s="21"/>
      <c r="J15" s="21"/>
      <c r="K15" s="23"/>
      <c r="L15" s="12"/>
    </row>
    <row r="16" customFormat="false" ht="15" hidden="false" customHeight="false" outlineLevel="0" collapsed="false">
      <c r="A16" s="20" t="n">
        <v>46377</v>
      </c>
      <c r="B16" s="21"/>
      <c r="C16" s="21"/>
      <c r="D16" s="22" t="str">
        <f aca="false">IF(OR(B16="",B16=0,C16=""),"",C16/B16)</f>
        <v/>
      </c>
      <c r="E16" s="21"/>
      <c r="F16" s="21"/>
      <c r="G16" s="21"/>
      <c r="H16" s="16" t="str">
        <f aca="false">IF(COUNT(E16:G16)=0,"",SUM(E16:G16))</f>
        <v/>
      </c>
      <c r="I16" s="21"/>
      <c r="J16" s="21"/>
      <c r="K16" s="23"/>
      <c r="L16" s="12"/>
    </row>
    <row r="17" customFormat="false" ht="15" hidden="false" customHeight="false" outlineLevel="0" collapsed="false">
      <c r="A17" s="20" t="n">
        <v>46384</v>
      </c>
      <c r="B17" s="21"/>
      <c r="C17" s="21"/>
      <c r="D17" s="22" t="str">
        <f aca="false">IF(OR(B17="",B17=0,C17=""),"",C17/B17)</f>
        <v/>
      </c>
      <c r="E17" s="21"/>
      <c r="F17" s="21"/>
      <c r="G17" s="21"/>
      <c r="H17" s="16" t="str">
        <f aca="false">IF(COUNT(E17:G17)=0,"",SUM(E17:G17))</f>
        <v/>
      </c>
      <c r="I17" s="21"/>
      <c r="J17" s="21"/>
      <c r="K17" s="23"/>
      <c r="L17" s="12"/>
    </row>
    <row r="18" customFormat="false" ht="15" hidden="false" customHeight="false" outlineLevel="0" collapsed="false">
      <c r="A18" s="5" t="s">
        <v>136</v>
      </c>
      <c r="B18" s="17" t="n">
        <f aca="false">SUM(B5:B17)</f>
        <v>0</v>
      </c>
      <c r="C18" s="17" t="n">
        <f aca="false">SUM(C5:C17)</f>
        <v>0</v>
      </c>
      <c r="D18" s="18" t="str">
        <f aca="false">IF(B18=0,"",C18/B18)</f>
        <v/>
      </c>
      <c r="E18" s="17" t="n">
        <f aca="false">SUM(E5:E17)</f>
        <v>0</v>
      </c>
      <c r="F18" s="17" t="n">
        <f aca="false">SUM(F5:F17)</f>
        <v>0</v>
      </c>
      <c r="G18" s="17" t="n">
        <f aca="false">SUM(G5:G17)</f>
        <v>0</v>
      </c>
      <c r="H18" s="17" t="n">
        <f aca="false">SUM(H5:H17)</f>
        <v>0</v>
      </c>
      <c r="I18" s="17" t="n">
        <f aca="false">SUM(I5:I17)</f>
        <v>0</v>
      </c>
      <c r="J18" s="17" t="n">
        <f aca="false">SUM(J5:J17)</f>
        <v>0</v>
      </c>
      <c r="K18" s="24" t="str">
        <f aca="false">IFERROR(AVERAGE(K5:K17),"")</f>
        <v/>
      </c>
    </row>
    <row r="19" customFormat="false" ht="15" hidden="false" customHeight="false" outlineLevel="0" collapsed="false">
      <c r="K19" s="19" t="s">
        <v>137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4" min="2" style="0" width="14"/>
    <col collapsed="false" customWidth="true" hidden="false" outlineLevel="0" max="5" min="5" style="0" width="13"/>
  </cols>
  <sheetData>
    <row r="1" customFormat="false" ht="17.35" hidden="false" customHeight="false" outlineLevel="0" collapsed="false">
      <c r="A1" s="1" t="s">
        <v>138</v>
      </c>
    </row>
    <row r="2" customFormat="false" ht="15" hidden="false" customHeight="false" outlineLevel="0" collapsed="false">
      <c r="A2" s="2" t="s">
        <v>139</v>
      </c>
    </row>
    <row r="4" customFormat="false" ht="15" hidden="false" customHeight="false" outlineLevel="0" collapsed="false">
      <c r="A4" s="8" t="s">
        <v>140</v>
      </c>
      <c r="B4" s="8" t="s">
        <v>141</v>
      </c>
      <c r="C4" s="8" t="s">
        <v>142</v>
      </c>
      <c r="D4" s="8" t="s">
        <v>143</v>
      </c>
      <c r="E4" s="8" t="s">
        <v>144</v>
      </c>
    </row>
    <row r="5" customFormat="false" ht="15" hidden="false" customHeight="false" outlineLevel="0" collapsed="false">
      <c r="A5" s="25" t="s">
        <v>145</v>
      </c>
      <c r="B5" s="16" t="str">
        <f aca="false">'Baseline DMs'!E28</f>
        <v/>
      </c>
      <c r="C5" s="21"/>
      <c r="D5" s="16" t="n">
        <v>15</v>
      </c>
      <c r="E5" s="13" t="str">
        <f aca="false">IF(OR(C5="",D5=""),"",IF(C5&lt;=D5,"Yes","Not yet"))</f>
        <v/>
      </c>
    </row>
    <row r="6" customFormat="false" ht="15" hidden="false" customHeight="false" outlineLevel="0" collapsed="false">
      <c r="A6" s="25" t="s">
        <v>146</v>
      </c>
      <c r="B6" s="22" t="str">
        <f aca="false">'Baseline DMs'!E30</f>
        <v/>
      </c>
      <c r="C6" s="26"/>
      <c r="D6" s="22" t="n">
        <v>0.8</v>
      </c>
      <c r="E6" s="13" t="str">
        <f aca="false">IF(OR(C6="",D6=""),"",IF(C6&gt;=D6,"Yes","Not yet"))</f>
        <v/>
      </c>
    </row>
    <row r="7" customFormat="false" ht="15" hidden="false" customHeight="false" outlineLevel="0" collapsed="false">
      <c r="A7" s="25" t="s">
        <v>147</v>
      </c>
      <c r="B7" s="22" t="n">
        <v>0</v>
      </c>
      <c r="C7" s="22" t="str">
        <f aca="false">'Weekly log'!D18</f>
        <v/>
      </c>
      <c r="D7" s="22" t="n">
        <v>0.6</v>
      </c>
      <c r="E7" s="13" t="str">
        <f aca="false">IF(OR(C7="",D7=""),"",IF(C7&gt;=D7,"Yes","Not yet"))</f>
        <v/>
      </c>
    </row>
    <row r="8" customFormat="false" ht="15" hidden="false" customHeight="false" outlineLevel="0" collapsed="false">
      <c r="A8" s="25" t="s">
        <v>148</v>
      </c>
      <c r="B8" s="16" t="n">
        <v>0</v>
      </c>
      <c r="C8" s="16" t="n">
        <f aca="false">'Weekly log'!H18</f>
        <v>0</v>
      </c>
      <c r="D8" s="16" t="s">
        <v>149</v>
      </c>
      <c r="E8" s="13"/>
    </row>
    <row r="9" customFormat="false" ht="15" hidden="false" customHeight="false" outlineLevel="0" collapsed="false">
      <c r="A9" s="25" t="s">
        <v>132</v>
      </c>
      <c r="B9" s="16" t="n">
        <v>0</v>
      </c>
      <c r="C9" s="16" t="n">
        <f aca="false">'Weekly log'!I18</f>
        <v>0</v>
      </c>
      <c r="D9" s="16" t="s">
        <v>149</v>
      </c>
      <c r="E9" s="13"/>
    </row>
    <row r="10" customFormat="false" ht="15" hidden="false" customHeight="false" outlineLevel="0" collapsed="false">
      <c r="A10" s="25" t="s">
        <v>150</v>
      </c>
      <c r="B10" s="22"/>
      <c r="C10" s="22" t="str">
        <f aca="false">IFERROR('Weekly log'!I18/'Weekly log'!H18,"")</f>
        <v/>
      </c>
      <c r="D10" s="22" t="s">
        <v>149</v>
      </c>
      <c r="E10" s="13"/>
    </row>
    <row r="11" customFormat="false" ht="15" hidden="false" customHeight="false" outlineLevel="0" collapsed="false">
      <c r="A11" s="25" t="s">
        <v>151</v>
      </c>
      <c r="B11" s="27" t="str">
        <f aca="false">IF('Weekly log'!K5="","",'Weekly log'!K5)</f>
        <v/>
      </c>
      <c r="C11" s="27" t="str">
        <f aca="false">IFERROR(INDEX('Weekly log'!K5:K17,MATCH(9.99E+307,'Weekly log'!K5:K17)),"")</f>
        <v/>
      </c>
      <c r="D11" s="27" t="str">
        <f aca="false">IF(B11="","",B11*2/3)</f>
        <v/>
      </c>
      <c r="E11" s="13" t="str">
        <f aca="false">IF(OR(C11="",D11=""),"",IF(C11&lt;=D11,"Yes","Not yet"))</f>
        <v/>
      </c>
    </row>
    <row r="12" customFormat="false" ht="15" hidden="false" customHeight="false" outlineLevel="0" collapsed="false">
      <c r="A12" s="25" t="s">
        <v>133</v>
      </c>
      <c r="B12" s="16" t="n">
        <v>0</v>
      </c>
      <c r="C12" s="16" t="n">
        <f aca="false">'Weekly log'!J18</f>
        <v>0</v>
      </c>
      <c r="D12" s="16" t="s">
        <v>149</v>
      </c>
      <c r="E12" s="13"/>
    </row>
    <row r="14" customFormat="false" ht="15" hidden="false" customHeight="false" outlineLevel="0" collapsed="false">
      <c r="A14" s="5" t="s">
        <v>152</v>
      </c>
      <c r="B14" s="5" t="s">
        <v>153</v>
      </c>
      <c r="C14" s="5" t="s">
        <v>154</v>
      </c>
    </row>
    <row r="15" customFormat="false" ht="15" hidden="false" customHeight="false" outlineLevel="0" collapsed="false">
      <c r="A15" s="25" t="s">
        <v>41</v>
      </c>
      <c r="B15" s="16" t="n">
        <f aca="false">'Weekly log'!E18</f>
        <v>0</v>
      </c>
      <c r="C15" s="22" t="str">
        <f aca="false">IFERROR(B15/SUM($B$15:$B$17),"")</f>
        <v/>
      </c>
    </row>
    <row r="16" customFormat="false" ht="15" hidden="false" customHeight="false" outlineLevel="0" collapsed="false">
      <c r="A16" s="25" t="s">
        <v>62</v>
      </c>
      <c r="B16" s="16" t="n">
        <f aca="false">'Weekly log'!F18</f>
        <v>0</v>
      </c>
      <c r="C16" s="22" t="str">
        <f aca="false">IFERROR(B16/SUM($B$15:$B$17),"")</f>
        <v/>
      </c>
    </row>
    <row r="17" customFormat="false" ht="15" hidden="false" customHeight="false" outlineLevel="0" collapsed="false">
      <c r="A17" s="25" t="s">
        <v>78</v>
      </c>
      <c r="B17" s="16" t="n">
        <f aca="false">'Weekly log'!G18</f>
        <v>0</v>
      </c>
      <c r="C17" s="22" t="str">
        <f aca="false">IFERROR(B17/SUM($B$15:$B$17),"")</f>
        <v/>
      </c>
    </row>
    <row r="19" customFormat="false" ht="15" hidden="false" customHeight="false" outlineLevel="0" collapsed="false">
      <c r="A19" s="19" t="s">
        <v>155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2026-10-05T16:29:02Z</dcterms:created>
  <dc:creator>openpyxl</dc:creator>
  <dc:description/>
  <dc:language>en-US</dc:language>
  <cp:lastModifiedBy/>
  <dcterms:modified xsi:type="dcterms:W3CDTF">2026-10-05T16:29:02Z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